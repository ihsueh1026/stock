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https://d.docs.live.net/f517a8edbee8c851/Claude/"/>
    </mc:Choice>
  </mc:AlternateContent>
  <xr:revisionPtr revIDLastSave="260" documentId="11_1BCB02D98E5891A2D2BFF18AA6E5FAAE3762BE6F" xr6:coauthVersionLast="47" xr6:coauthVersionMax="47" xr10:uidLastSave="{268132DE-2AFF-0C41-AA7D-51D1899A4E92}"/>
  <bookViews>
    <workbookView xWindow="0" yWindow="580" windowWidth="25600" windowHeight="14840" tabRatio="500" activeTab="1" xr2:uid="{00000000-000D-0000-FFFF-FFFF00000000}"/>
  </bookViews>
  <sheets>
    <sheet name="每日推薦" sheetId="1" r:id="rId1"/>
    <sheet name="2324 仁寶" sheetId="2" r:id="rId2"/>
    <sheet name="2382 廣達" sheetId="3" r:id="rId3"/>
    <sheet name="2395 研華" sheetId="4" r:id="rId4"/>
    <sheet name="3231 緯創" sheetId="5" r:id="rId5"/>
    <sheet name="2379 瑞昱" sheetId="6" r:id="rId6"/>
    <sheet name="5388 中磊" sheetId="7" r:id="rId7"/>
    <sheet name="6285 啟碁" sheetId="8" r:id="rId8"/>
    <sheet name="2352 佳世達" sheetId="9" r:id="rId9"/>
    <sheet name="2376 技嘉" sheetId="10" r:id="rId10"/>
    <sheet name="3034 聯詠" sheetId="11" r:id="rId11"/>
    <sheet name="2330 台積電" sheetId="12" r:id="rId12"/>
    <sheet name="2308 台達電" sheetId="13" r:id="rId13"/>
    <sheet name="2881 富邦金" sheetId="14" r:id="rId14"/>
    <sheet name="2324" sheetId="15" r:id="rId15"/>
    <sheet name="2382" sheetId="16" r:id="rId16"/>
    <sheet name="2395" sheetId="17" r:id="rId17"/>
    <sheet name="3231" sheetId="18" r:id="rId18"/>
    <sheet name="2379" sheetId="19" r:id="rId19"/>
    <sheet name="5388" sheetId="20" r:id="rId20"/>
    <sheet name="6285" sheetId="21" r:id="rId21"/>
    <sheet name="2352" sheetId="22" r:id="rId22"/>
    <sheet name="2376" sheetId="23" r:id="rId23"/>
    <sheet name="3034" sheetId="24" r:id="rId24"/>
    <sheet name="2330" sheetId="25" r:id="rId25"/>
    <sheet name="2308" sheetId="26" r:id="rId26"/>
    <sheet name="2881" sheetId="27" r:id="rId27"/>
  </sheets>
  <definedNames>
    <definedName name="_xlnm._FilterDatabase" localSheetId="25" hidden="1">'2308'!$A$1:$O$21</definedName>
    <definedName name="_xlnm._FilterDatabase" localSheetId="14" hidden="1">'2324'!$A$1:$O$21</definedName>
    <definedName name="_xlnm._FilterDatabase" localSheetId="24" hidden="1">'2330'!$A$1:$O$21</definedName>
    <definedName name="_xlnm._FilterDatabase" localSheetId="21" hidden="1">'2352'!$A$1:$O$21</definedName>
    <definedName name="_xlnm._FilterDatabase" localSheetId="22" hidden="1">'2376'!$A$1:$O$21</definedName>
    <definedName name="_xlnm._FilterDatabase" localSheetId="18" hidden="1">'2379'!$A$1:$O$21</definedName>
    <definedName name="_xlnm._FilterDatabase" localSheetId="15" hidden="1">'2382'!$A$1:$O$21</definedName>
    <definedName name="_xlnm._FilterDatabase" localSheetId="16" hidden="1">'2395'!$A$1:$O$21</definedName>
    <definedName name="_xlnm._FilterDatabase" localSheetId="26" hidden="1">'2881'!$A$1:$O$21</definedName>
    <definedName name="_xlnm._FilterDatabase" localSheetId="23" hidden="1">'3034'!$A$1:$O$21</definedName>
    <definedName name="_xlnm._FilterDatabase" localSheetId="17" hidden="1">'3231'!$A$1:$O$21</definedName>
    <definedName name="_xlnm._FilterDatabase" localSheetId="19" hidden="1">'5388'!$A$1:$O$21</definedName>
    <definedName name="_xlnm._FilterDatabase" localSheetId="20" hidden="1">'6285'!$A$1:$O$21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4" l="1"/>
  <c r="D31" i="14"/>
  <c r="C31" i="14"/>
  <c r="B30" i="14"/>
  <c r="E31" i="13"/>
  <c r="D31" i="13"/>
  <c r="C31" i="13"/>
  <c r="B30" i="13"/>
  <c r="E31" i="12"/>
  <c r="D31" i="12"/>
  <c r="C31" i="12"/>
  <c r="B30" i="12"/>
  <c r="J37" i="14"/>
  <c r="I37" i="14"/>
  <c r="H37" i="14"/>
  <c r="J36" i="14"/>
  <c r="I36" i="14"/>
  <c r="H36" i="14"/>
  <c r="J35" i="14"/>
  <c r="J38" i="14" s="1"/>
  <c r="I35" i="14"/>
  <c r="I38" i="14" s="1"/>
  <c r="H35" i="14"/>
  <c r="H38" i="13"/>
  <c r="J37" i="13"/>
  <c r="J38" i="13" s="1"/>
  <c r="I37" i="13"/>
  <c r="H37" i="13"/>
  <c r="J36" i="13"/>
  <c r="I36" i="13"/>
  <c r="H36" i="13"/>
  <c r="J35" i="13"/>
  <c r="I35" i="13"/>
  <c r="H35" i="13"/>
  <c r="J37" i="12"/>
  <c r="I37" i="12"/>
  <c r="H37" i="12"/>
  <c r="J36" i="12"/>
  <c r="I36" i="12"/>
  <c r="H36" i="12"/>
  <c r="J35" i="12"/>
  <c r="I35" i="12"/>
  <c r="I38" i="12" s="1"/>
  <c r="H35" i="12"/>
  <c r="H38" i="12" s="1"/>
  <c r="J38" i="11"/>
  <c r="H38" i="11"/>
  <c r="J37" i="11"/>
  <c r="I37" i="11"/>
  <c r="H37" i="11"/>
  <c r="J36" i="11"/>
  <c r="I36" i="11"/>
  <c r="I38" i="11" s="1"/>
  <c r="H36" i="11"/>
  <c r="I35" i="11"/>
  <c r="H35" i="11"/>
  <c r="B30" i="11"/>
  <c r="J35" i="11" s="1"/>
  <c r="H38" i="10"/>
  <c r="J37" i="10"/>
  <c r="I37" i="10"/>
  <c r="I38" i="10" s="1"/>
  <c r="H37" i="10"/>
  <c r="J36" i="10"/>
  <c r="I36" i="10"/>
  <c r="H36" i="10"/>
  <c r="J35" i="10"/>
  <c r="I35" i="10"/>
  <c r="H35" i="10"/>
  <c r="J37" i="9"/>
  <c r="I37" i="9"/>
  <c r="H37" i="9"/>
  <c r="J36" i="9"/>
  <c r="J38" i="9" s="1"/>
  <c r="I36" i="9"/>
  <c r="H36" i="9"/>
  <c r="H38" i="9" s="1"/>
  <c r="J35" i="9"/>
  <c r="I35" i="9"/>
  <c r="H35" i="9"/>
  <c r="J37" i="8"/>
  <c r="I37" i="8"/>
  <c r="H37" i="8"/>
  <c r="J36" i="8"/>
  <c r="I36" i="8"/>
  <c r="H36" i="8"/>
  <c r="J35" i="8"/>
  <c r="J38" i="8" s="1"/>
  <c r="I35" i="8"/>
  <c r="I38" i="8" s="1"/>
  <c r="H35" i="8"/>
  <c r="H38" i="8" s="1"/>
  <c r="J38" i="7"/>
  <c r="J37" i="7"/>
  <c r="I37" i="7"/>
  <c r="H37" i="7"/>
  <c r="J36" i="7"/>
  <c r="I36" i="7"/>
  <c r="H36" i="7"/>
  <c r="H38" i="7" s="1"/>
  <c r="J35" i="7"/>
  <c r="I35" i="7"/>
  <c r="H35" i="7"/>
  <c r="I38" i="6"/>
  <c r="J37" i="6"/>
  <c r="I37" i="6"/>
  <c r="H37" i="6"/>
  <c r="J36" i="6"/>
  <c r="I36" i="6"/>
  <c r="H36" i="6"/>
  <c r="J35" i="6"/>
  <c r="J38" i="6" s="1"/>
  <c r="I35" i="6"/>
  <c r="H35" i="6"/>
  <c r="H38" i="6" s="1"/>
  <c r="J38" i="5"/>
  <c r="I38" i="5"/>
  <c r="J37" i="5"/>
  <c r="I37" i="5"/>
  <c r="H37" i="5"/>
  <c r="J36" i="5"/>
  <c r="I36" i="5"/>
  <c r="H36" i="5"/>
  <c r="J35" i="5"/>
  <c r="I35" i="5"/>
  <c r="H35" i="5"/>
  <c r="H38" i="5" s="1"/>
  <c r="J37" i="4"/>
  <c r="I37" i="4"/>
  <c r="H37" i="4"/>
  <c r="J36" i="4"/>
  <c r="I36" i="4"/>
  <c r="H36" i="4"/>
  <c r="H38" i="4" s="1"/>
  <c r="J35" i="4"/>
  <c r="I35" i="4"/>
  <c r="H35" i="4"/>
  <c r="J37" i="3"/>
  <c r="I37" i="3"/>
  <c r="I38" i="3" s="1"/>
  <c r="H37" i="3"/>
  <c r="J36" i="3"/>
  <c r="I36" i="3"/>
  <c r="H36" i="3"/>
  <c r="J35" i="3"/>
  <c r="I35" i="3"/>
  <c r="H35" i="3"/>
  <c r="H38" i="3" s="1"/>
  <c r="H38" i="2"/>
  <c r="J37" i="2"/>
  <c r="I37" i="2"/>
  <c r="H37" i="2"/>
  <c r="J36" i="2"/>
  <c r="I36" i="2"/>
  <c r="H36" i="2"/>
  <c r="J35" i="2"/>
  <c r="J38" i="2" s="1"/>
  <c r="I35" i="2"/>
  <c r="I38" i="2" s="1"/>
  <c r="H35" i="2"/>
  <c r="O15" i="14" a="1"/>
  <c r="J15" i="14" a="1"/>
  <c r="E15" i="14" a="1"/>
  <c r="O14" i="14" a="1"/>
  <c r="J14" i="14" a="1"/>
  <c r="E14" i="14" a="1"/>
  <c r="K13" i="14" a="1"/>
  <c r="F13" i="14" a="1"/>
  <c r="A13" i="14" a="1"/>
  <c r="L12" i="14" a="1"/>
  <c r="G12" i="14" a="1"/>
  <c r="B12" i="14" a="1"/>
  <c r="N25" i="13" a="1"/>
  <c r="I25" i="13" a="1"/>
  <c r="D25" i="13" a="1"/>
  <c r="O24" i="13" a="1"/>
  <c r="J24" i="13" a="1"/>
  <c r="E24" i="13" a="1"/>
  <c r="K23" i="13" a="1"/>
  <c r="F23" i="13" a="1"/>
  <c r="A23" i="13" a="1"/>
  <c r="L22" i="13" a="1"/>
  <c r="G22" i="13" a="1"/>
  <c r="B22" i="13" a="1"/>
  <c r="M21" i="13" a="1"/>
  <c r="H21" i="13" a="1"/>
  <c r="C21" i="13" a="1"/>
  <c r="N20" i="13" a="1"/>
  <c r="I20" i="13" a="1"/>
  <c r="D20" i="13" a="1"/>
  <c r="O19" i="13" a="1"/>
  <c r="J19" i="13" a="1"/>
  <c r="E19" i="13" a="1"/>
  <c r="O18" i="13" a="1"/>
  <c r="J18" i="13" a="1"/>
  <c r="E18" i="13" a="1"/>
  <c r="O17" i="13" a="1"/>
  <c r="J17" i="13" a="1"/>
  <c r="E17" i="13" a="1"/>
  <c r="O16" i="13" a="1"/>
  <c r="J16" i="13" a="1"/>
  <c r="E16" i="13" a="1"/>
  <c r="L25" i="14" a="1"/>
  <c r="G25" i="14" a="1"/>
  <c r="B25" i="14" a="1"/>
  <c r="M24" i="14" a="1"/>
  <c r="H24" i="14" a="1"/>
  <c r="C24" i="14" a="1"/>
  <c r="N23" i="14" a="1"/>
  <c r="I23" i="14" a="1"/>
  <c r="D23" i="14" a="1"/>
  <c r="O22" i="14" a="1"/>
  <c r="J22" i="14" a="1"/>
  <c r="E22" i="14" a="1"/>
  <c r="K21" i="14" a="1"/>
  <c r="F21" i="14" a="1"/>
  <c r="A21" i="14" a="1"/>
  <c r="L20" i="14" a="1"/>
  <c r="G20" i="14" a="1"/>
  <c r="B20" i="14" a="1"/>
  <c r="M19" i="14" a="1"/>
  <c r="H19" i="14" a="1"/>
  <c r="C19" i="14" a="1"/>
  <c r="M18" i="14" a="1"/>
  <c r="H18" i="14" a="1"/>
  <c r="C18" i="14" a="1"/>
  <c r="M17" i="14" a="1"/>
  <c r="H17" i="14" a="1"/>
  <c r="C17" i="14" a="1"/>
  <c r="M16" i="14" a="1"/>
  <c r="H16" i="14" a="1"/>
  <c r="C16" i="14" a="1"/>
  <c r="L11" i="14" a="1"/>
  <c r="G11" i="14" a="1"/>
  <c r="B11" i="14" a="1"/>
  <c r="M10" i="14" a="1"/>
  <c r="H10" i="14" a="1"/>
  <c r="C10" i="14" a="1"/>
  <c r="N9" i="14" a="1"/>
  <c r="I9" i="14" a="1"/>
  <c r="D9" i="14" a="1"/>
  <c r="O8" i="14" a="1"/>
  <c r="J8" i="14" a="1"/>
  <c r="E8" i="14" a="1"/>
  <c r="K7" i="14" a="1"/>
  <c r="F7" i="14" a="1"/>
  <c r="A7" i="14" a="1"/>
  <c r="K6" i="14" a="1"/>
  <c r="F6" i="14" a="1"/>
  <c r="A6" i="14" a="1"/>
  <c r="N15" i="14" a="1"/>
  <c r="I15" i="14" a="1"/>
  <c r="D15" i="14" a="1"/>
  <c r="N14" i="14" a="1"/>
  <c r="I14" i="14" a="1"/>
  <c r="D14" i="14" a="1"/>
  <c r="O13" i="14" a="1"/>
  <c r="J13" i="14" a="1"/>
  <c r="E13" i="14" a="1"/>
  <c r="K12" i="14" a="1"/>
  <c r="F12" i="14" a="1"/>
  <c r="A12" i="14" a="1"/>
  <c r="M25" i="13" a="1"/>
  <c r="H25" i="13" a="1"/>
  <c r="C25" i="13" a="1"/>
  <c r="N24" i="13" a="1"/>
  <c r="I24" i="13" a="1"/>
  <c r="D24" i="13" a="1"/>
  <c r="O23" i="13" a="1"/>
  <c r="J23" i="13" a="1"/>
  <c r="E23" i="13" a="1"/>
  <c r="K22" i="13" a="1"/>
  <c r="F22" i="13" a="1"/>
  <c r="A22" i="13" a="1"/>
  <c r="L21" i="13" a="1"/>
  <c r="G21" i="13" a="1"/>
  <c r="B21" i="13" a="1"/>
  <c r="M20" i="13" a="1"/>
  <c r="H20" i="13" a="1"/>
  <c r="C20" i="13" a="1"/>
  <c r="N19" i="13" a="1"/>
  <c r="I19" i="13" a="1"/>
  <c r="D19" i="13" a="1"/>
  <c r="N18" i="13" a="1"/>
  <c r="I18" i="13" a="1"/>
  <c r="D18" i="13" a="1"/>
  <c r="N17" i="13" a="1"/>
  <c r="I17" i="13" a="1"/>
  <c r="D17" i="13" a="1"/>
  <c r="N16" i="13" a="1"/>
  <c r="K25" i="14" a="1"/>
  <c r="F25" i="14" a="1"/>
  <c r="A25" i="14" a="1"/>
  <c r="L24" i="14" a="1"/>
  <c r="G24" i="14" a="1"/>
  <c r="B24" i="14" a="1"/>
  <c r="M23" i="14" a="1"/>
  <c r="M15" i="14" a="1"/>
  <c r="H15" i="14" a="1"/>
  <c r="C15" i="14" a="1"/>
  <c r="M14" i="14" a="1"/>
  <c r="H14" i="14" a="1"/>
  <c r="C14" i="14" a="1"/>
  <c r="N13" i="14" a="1"/>
  <c r="I13" i="14" a="1"/>
  <c r="D13" i="14" a="1"/>
  <c r="O12" i="14" a="1"/>
  <c r="J12" i="14" a="1"/>
  <c r="E12" i="14" a="1"/>
  <c r="O25" i="14" a="1"/>
  <c r="J25" i="14" a="1"/>
  <c r="E25" i="14" a="1"/>
  <c r="K24" i="14" a="1"/>
  <c r="F24" i="14" a="1"/>
  <c r="A24" i="14" a="1"/>
  <c r="L23" i="14" a="1"/>
  <c r="G23" i="14" a="1"/>
  <c r="B23" i="14" a="1"/>
  <c r="M22" i="14" a="1"/>
  <c r="H22" i="14" a="1"/>
  <c r="C22" i="14" a="1"/>
  <c r="N21" i="14" a="1"/>
  <c r="I21" i="14" a="1"/>
  <c r="D21" i="14" a="1"/>
  <c r="O20" i="14" a="1"/>
  <c r="J20" i="14" a="1"/>
  <c r="E20" i="14" a="1"/>
  <c r="L15" i="14" a="1"/>
  <c r="G15" i="14" a="1"/>
  <c r="B15" i="14" a="1"/>
  <c r="L14" i="14" a="1"/>
  <c r="G14" i="14" a="1"/>
  <c r="B14" i="14" a="1"/>
  <c r="M13" i="14" a="1"/>
  <c r="H13" i="14" a="1"/>
  <c r="C13" i="14" a="1"/>
  <c r="N12" i="14" a="1"/>
  <c r="I12" i="14" a="1"/>
  <c r="D12" i="14" a="1"/>
  <c r="N25" i="14" a="1"/>
  <c r="I25" i="14" a="1"/>
  <c r="D25" i="14" a="1"/>
  <c r="O24" i="14" a="1"/>
  <c r="J24" i="14" a="1"/>
  <c r="E24" i="14" a="1"/>
  <c r="K23" i="14" a="1"/>
  <c r="F23" i="14" a="1"/>
  <c r="A23" i="14" a="1"/>
  <c r="L22" i="14" a="1"/>
  <c r="G22" i="14" a="1"/>
  <c r="B22" i="14" a="1"/>
  <c r="M21" i="14" a="1"/>
  <c r="H21" i="14" a="1"/>
  <c r="C21" i="14" a="1"/>
  <c r="N20" i="14" a="1"/>
  <c r="I20" i="14" a="1"/>
  <c r="K15" i="14" a="1"/>
  <c r="F15" i="14" a="1"/>
  <c r="A15" i="14" a="1"/>
  <c r="K14" i="14" a="1"/>
  <c r="F14" i="14" a="1"/>
  <c r="A14" i="14" a="1"/>
  <c r="L13" i="14" a="1"/>
  <c r="G13" i="14" a="1"/>
  <c r="B13" i="14" a="1"/>
  <c r="M25" i="14" a="1"/>
  <c r="H25" i="14" a="1"/>
  <c r="C25" i="14" a="1"/>
  <c r="N24" i="14" a="1"/>
  <c r="I24" i="14" a="1"/>
  <c r="D24" i="14" a="1"/>
  <c r="O23" i="14" a="1"/>
  <c r="J23" i="14" a="1"/>
  <c r="E23" i="14" a="1"/>
  <c r="K22" i="14" a="1"/>
  <c r="F22" i="14" a="1"/>
  <c r="A22" i="14" a="1"/>
  <c r="L21" i="14" a="1"/>
  <c r="G21" i="14" a="1"/>
  <c r="B21" i="14" a="1"/>
  <c r="M20" i="14" a="1"/>
  <c r="H20" i="14" a="1"/>
  <c r="C20" i="14" a="1"/>
  <c r="N19" i="14" a="1"/>
  <c r="I19" i="14" a="1"/>
  <c r="D19" i="14" a="1"/>
  <c r="N18" i="14" a="1"/>
  <c r="I18" i="14" a="1"/>
  <c r="D18" i="14" a="1"/>
  <c r="N17" i="14" a="1"/>
  <c r="I17" i="14" a="1"/>
  <c r="D17" i="14" a="1"/>
  <c r="N16" i="14" a="1"/>
  <c r="I16" i="14" a="1"/>
  <c r="D16" i="14" a="1"/>
  <c r="C23" i="14" a="1"/>
  <c r="D20" i="14" a="1"/>
  <c r="B19" i="14" a="1"/>
  <c r="A18" i="14" a="1"/>
  <c r="O16" i="14" a="1"/>
  <c r="J11" i="14" a="1"/>
  <c r="E10" i="14" a="1"/>
  <c r="M9" i="14" a="1"/>
  <c r="H8" i="14" a="1"/>
  <c r="C7" i="14" a="1"/>
  <c r="J6" i="14" a="1"/>
  <c r="J15" i="13" a="1"/>
  <c r="E15" i="13" a="1"/>
  <c r="O14" i="13" a="1"/>
  <c r="J14" i="13" a="1"/>
  <c r="E14" i="13" a="1"/>
  <c r="K13" i="13" a="1"/>
  <c r="F13" i="13" a="1"/>
  <c r="A13" i="13" a="1"/>
  <c r="L12" i="13" a="1"/>
  <c r="G12" i="13" a="1"/>
  <c r="B12" i="13" a="1"/>
  <c r="N25" i="12" a="1"/>
  <c r="I25" i="12" a="1"/>
  <c r="D25" i="12" a="1"/>
  <c r="O24" i="12" a="1"/>
  <c r="J24" i="12" a="1"/>
  <c r="E24" i="12" a="1"/>
  <c r="K23" i="12" a="1"/>
  <c r="F23" i="12" a="1"/>
  <c r="A23" i="12" a="1"/>
  <c r="L22" i="12" a="1"/>
  <c r="N22" i="14" a="1"/>
  <c r="A20" i="14" a="1"/>
  <c r="A19" i="14" a="1"/>
  <c r="O17" i="14" a="1"/>
  <c r="L16" i="14" a="1"/>
  <c r="C11" i="14" a="1"/>
  <c r="K10" i="14" a="1"/>
  <c r="F9" i="14" a="1"/>
  <c r="N8" i="14" a="1"/>
  <c r="A8" i="14" a="1"/>
  <c r="I7" i="14" a="1"/>
  <c r="C6" i="14" a="1"/>
  <c r="L25" i="13" a="1"/>
  <c r="F25" i="13" a="1"/>
  <c r="C24" i="13" a="1"/>
  <c r="M23" i="13" a="1"/>
  <c r="G23" i="13" a="1"/>
  <c r="J22" i="13" a="1"/>
  <c r="D22" i="13" a="1"/>
  <c r="N21" i="13" a="1"/>
  <c r="A21" i="13" a="1"/>
  <c r="K20" i="13" a="1"/>
  <c r="E20" i="13" a="1"/>
  <c r="H19" i="13" a="1"/>
  <c r="B19" i="13" a="1"/>
  <c r="K18" i="13" a="1"/>
  <c r="M17" i="13" a="1"/>
  <c r="G17" i="13" a="1"/>
  <c r="A17" i="13" a="1"/>
  <c r="D16" i="13" a="1"/>
  <c r="O15" i="13" a="1"/>
  <c r="L11" i="13" a="1"/>
  <c r="G11" i="13" a="1"/>
  <c r="B11" i="13" a="1"/>
  <c r="M10" i="13" a="1"/>
  <c r="H10" i="13" a="1"/>
  <c r="C10" i="13" a="1"/>
  <c r="N9" i="13" a="1"/>
  <c r="I9" i="13" a="1"/>
  <c r="D9" i="13" a="1"/>
  <c r="O8" i="13" a="1"/>
  <c r="J8" i="13" a="1"/>
  <c r="E8" i="13" a="1"/>
  <c r="K7" i="13" a="1"/>
  <c r="F7" i="13" a="1"/>
  <c r="A7" i="13" a="1"/>
  <c r="K6" i="13" a="1"/>
  <c r="F6" i="13" a="1"/>
  <c r="A6" i="13" a="1"/>
  <c r="I22" i="14" a="1"/>
  <c r="O18" i="14" a="1"/>
  <c r="L17" i="14" a="1"/>
  <c r="K16" i="14" a="1"/>
  <c r="I11" i="14" a="1"/>
  <c r="A11" i="14" a="1"/>
  <c r="D10" i="14" a="1"/>
  <c r="L9" i="14" a="1"/>
  <c r="G8" i="14" a="1"/>
  <c r="O7" i="14" a="1"/>
  <c r="B7" i="14" a="1"/>
  <c r="I6" i="14" a="1"/>
  <c r="I16" i="13" a="1"/>
  <c r="I15" i="13" a="1"/>
  <c r="D15" i="13" a="1"/>
  <c r="N14" i="13" a="1"/>
  <c r="I14" i="13" a="1"/>
  <c r="D14" i="13" a="1"/>
  <c r="O13" i="13" a="1"/>
  <c r="J13" i="13" a="1"/>
  <c r="E13" i="13" a="1"/>
  <c r="K12" i="13" a="1"/>
  <c r="F12" i="13" a="1"/>
  <c r="A12" i="13" a="1"/>
  <c r="M25" i="12" a="1"/>
  <c r="H25" i="12" a="1"/>
  <c r="C25" i="12" a="1"/>
  <c r="N24" i="12" a="1"/>
  <c r="I24" i="12" a="1"/>
  <c r="D24" i="12" a="1"/>
  <c r="O23" i="12" a="1"/>
  <c r="J23" i="12" a="1"/>
  <c r="E23" i="12" a="1"/>
  <c r="K22" i="12" a="1"/>
  <c r="F22" i="12" a="1"/>
  <c r="A22" i="12" a="1"/>
  <c r="L21" i="12" a="1"/>
  <c r="D22" i="14" a="1"/>
  <c r="O19" i="14" a="1"/>
  <c r="L18" i="14" a="1"/>
  <c r="K17" i="14" a="1"/>
  <c r="J16" i="14" a="1"/>
  <c r="O11" i="14" a="1"/>
  <c r="J10" i="14" a="1"/>
  <c r="B10" i="14" a="1"/>
  <c r="E9" i="14" a="1"/>
  <c r="M8" i="14" a="1"/>
  <c r="H7" i="14" a="1"/>
  <c r="O6" i="14" a="1"/>
  <c r="B6" i="14" a="1"/>
  <c r="O21" i="14" a="1"/>
  <c r="L19" i="14" a="1"/>
  <c r="K18" i="14" a="1"/>
  <c r="J17" i="14" a="1"/>
  <c r="G16" i="14" a="1"/>
  <c r="H12" i="14" a="1"/>
  <c r="H11" i="14" a="1"/>
  <c r="K9" i="14" a="1"/>
  <c r="C9" i="14" a="1"/>
  <c r="F8" i="14" a="1"/>
  <c r="N7" i="14" a="1"/>
  <c r="H6" i="14" a="1"/>
  <c r="J21" i="14" a="1"/>
  <c r="K19" i="14" a="1"/>
  <c r="J18" i="14" a="1"/>
  <c r="G17" i="14" a="1"/>
  <c r="F16" i="14" a="1"/>
  <c r="N11" i="14" a="1"/>
  <c r="F11" i="14" a="1"/>
  <c r="I10" i="14" a="1"/>
  <c r="A10" i="14" a="1"/>
  <c r="L8" i="14" a="1"/>
  <c r="D8" i="14" a="1"/>
  <c r="G7" i="14" a="1"/>
  <c r="N6" i="14" a="1"/>
  <c r="E21" i="14" a="1"/>
  <c r="J19" i="14" a="1"/>
  <c r="G18" i="14" a="1"/>
  <c r="F17" i="14" a="1"/>
  <c r="E16" i="14" a="1"/>
  <c r="O10" i="14" a="1"/>
  <c r="G10" i="14" a="1"/>
  <c r="J9" i="14" a="1"/>
  <c r="B9" i="14" a="1"/>
  <c r="M7" i="14" a="1"/>
  <c r="E7" i="14" a="1"/>
  <c r="G19" i="14" a="1"/>
  <c r="F18" i="14" a="1"/>
  <c r="E17" i="14" a="1"/>
  <c r="B16" i="14" a="1"/>
  <c r="M11" i="14" a="1"/>
  <c r="E11" i="14" a="1"/>
  <c r="H9" i="14" a="1"/>
  <c r="K8" i="14" a="1"/>
  <c r="C8" i="14" a="1"/>
  <c r="K20" i="14" a="1"/>
  <c r="F19" i="14" a="1"/>
  <c r="E18" i="14" a="1"/>
  <c r="B17" i="14" a="1"/>
  <c r="A16" i="14" a="1"/>
  <c r="K11" i="14" a="1"/>
  <c r="N10" i="14" a="1"/>
  <c r="F10" i="14" a="1"/>
  <c r="H23" i="14" a="1"/>
  <c r="F20" i="14" a="1"/>
  <c r="E19" i="14" a="1"/>
  <c r="B18" i="14" a="1"/>
  <c r="A17" i="14" a="1"/>
  <c r="M12" i="14" a="1"/>
  <c r="C12" i="14" a="1"/>
  <c r="D11" i="14" a="1"/>
  <c r="L10" i="14" a="1"/>
  <c r="O9" i="14" a="1"/>
  <c r="G9" i="14" a="1"/>
  <c r="B8" i="14" a="1"/>
  <c r="J7" i="14" a="1"/>
  <c r="L6" i="14" a="1"/>
  <c r="D6" i="14" a="1"/>
  <c r="A9" i="14" a="1"/>
  <c r="G6" i="14" a="1"/>
  <c r="O25" i="13" a="1"/>
  <c r="E25" i="13" a="1"/>
  <c r="F21" i="13" a="1"/>
  <c r="F20" i="13" a="1"/>
  <c r="L19" i="13" a="1"/>
  <c r="A18" i="13" a="1"/>
  <c r="F17" i="13" a="1"/>
  <c r="M15" i="13" a="1"/>
  <c r="F15" i="13" a="1"/>
  <c r="M14" i="13" a="1"/>
  <c r="H13" i="13" a="1"/>
  <c r="C12" i="13" a="1"/>
  <c r="D11" i="13" a="1"/>
  <c r="L10" i="13" a="1"/>
  <c r="O9" i="13" a="1"/>
  <c r="G9" i="13" a="1"/>
  <c r="B8" i="13" a="1"/>
  <c r="J7" i="13" a="1"/>
  <c r="L6" i="13" a="1"/>
  <c r="D6" i="13" a="1"/>
  <c r="L25" i="12" a="1"/>
  <c r="G24" i="12" a="1"/>
  <c r="B23" i="12" a="1"/>
  <c r="J22" i="12" a="1"/>
  <c r="D22" i="12" a="1"/>
  <c r="N21" i="12" a="1"/>
  <c r="H21" i="12" a="1"/>
  <c r="B21" i="12" a="1"/>
  <c r="G20" i="12" a="1"/>
  <c r="B20" i="12" a="1"/>
  <c r="M19" i="12" a="1"/>
  <c r="H19" i="12" a="1"/>
  <c r="C19" i="12" a="1"/>
  <c r="I8" i="14" a="1"/>
  <c r="E6" i="14" a="1"/>
  <c r="L24" i="13" a="1"/>
  <c r="B24" i="13" a="1"/>
  <c r="B23" i="13" a="1"/>
  <c r="H22" i="13" a="1"/>
  <c r="C19" i="13" a="1"/>
  <c r="H18" i="13" a="1"/>
  <c r="L16" i="13" a="1"/>
  <c r="C16" i="13" a="1"/>
  <c r="F14" i="13" a="1"/>
  <c r="N13" i="13" a="1"/>
  <c r="I12" i="13" a="1"/>
  <c r="J11" i="13" a="1"/>
  <c r="E10" i="13" a="1"/>
  <c r="M9" i="13" a="1"/>
  <c r="H8" i="13" a="1"/>
  <c r="C7" i="13" a="1"/>
  <c r="J6" i="13" a="1"/>
  <c r="E25" i="12" a="1"/>
  <c r="M24" i="12" a="1"/>
  <c r="H23" i="12" a="1"/>
  <c r="G21" i="12" a="1"/>
  <c r="L20" i="12" a="1"/>
  <c r="N15" i="12" a="1"/>
  <c r="I15" i="12" a="1"/>
  <c r="D15" i="12" a="1"/>
  <c r="N14" i="12" a="1"/>
  <c r="I14" i="12" a="1"/>
  <c r="D14" i="12" a="1"/>
  <c r="O13" i="12" a="1"/>
  <c r="J13" i="12" a="1"/>
  <c r="E13" i="12" a="1"/>
  <c r="K12" i="12" a="1"/>
  <c r="F12" i="12" a="1"/>
  <c r="A12" i="12" a="1"/>
  <c r="K15" i="11" a="1"/>
  <c r="F15" i="11" a="1"/>
  <c r="A15" i="11" a="1"/>
  <c r="K14" i="11" a="1"/>
  <c r="F14" i="11" a="1"/>
  <c r="A14" i="11" a="1"/>
  <c r="L13" i="11" a="1"/>
  <c r="G13" i="11" a="1"/>
  <c r="B13" i="11" a="1"/>
  <c r="M12" i="11" a="1"/>
  <c r="H12" i="11" a="1"/>
  <c r="C12" i="11" a="1"/>
  <c r="I23" i="13" a="1"/>
  <c r="O22" i="13" a="1"/>
  <c r="O21" i="13" a="1"/>
  <c r="E21" i="13" a="1"/>
  <c r="K19" i="13" a="1"/>
  <c r="A19" i="13" a="1"/>
  <c r="L15" i="13" a="1"/>
  <c r="L14" i="13" a="1"/>
  <c r="G13" i="13" a="1"/>
  <c r="O12" i="13" a="1"/>
  <c r="C11" i="13" a="1"/>
  <c r="K10" i="13" a="1"/>
  <c r="F9" i="13" a="1"/>
  <c r="N8" i="13" a="1"/>
  <c r="A8" i="13" a="1"/>
  <c r="I7" i="13" a="1"/>
  <c r="C6" i="13" a="1"/>
  <c r="K25" i="12" a="1"/>
  <c r="F24" i="12" a="1"/>
  <c r="N23" i="12" a="1"/>
  <c r="I22" i="12" a="1"/>
  <c r="C22" i="12" a="1"/>
  <c r="M21" i="12" a="1"/>
  <c r="A21" i="12" a="1"/>
  <c r="F20" i="12" a="1"/>
  <c r="A20" i="12" a="1"/>
  <c r="L19" i="12" a="1"/>
  <c r="G19" i="12" a="1"/>
  <c r="B19" i="12" a="1"/>
  <c r="L18" i="12" a="1"/>
  <c r="G18" i="12" a="1"/>
  <c r="B18" i="12" a="1"/>
  <c r="L17" i="12" a="1"/>
  <c r="G17" i="12" a="1"/>
  <c r="B17" i="12" a="1"/>
  <c r="L16" i="12" a="1"/>
  <c r="G16" i="12" a="1"/>
  <c r="B16" i="12" a="1"/>
  <c r="K11" i="12" a="1"/>
  <c r="F11" i="12" a="1"/>
  <c r="A11" i="12" a="1"/>
  <c r="L10" i="12" a="1"/>
  <c r="G10" i="12" a="1"/>
  <c r="B10" i="12" a="1"/>
  <c r="M9" i="12" a="1"/>
  <c r="H9" i="12" a="1"/>
  <c r="C9" i="12" a="1"/>
  <c r="N8" i="12" a="1"/>
  <c r="I8" i="12" a="1"/>
  <c r="D8" i="12" a="1"/>
  <c r="K25" i="13" a="1"/>
  <c r="K24" i="13" a="1"/>
  <c r="A24" i="13" a="1"/>
  <c r="L20" i="13" a="1"/>
  <c r="B20" i="13" a="1"/>
  <c r="G18" i="13" a="1"/>
  <c r="L17" i="13" a="1"/>
  <c r="K16" i="13" a="1"/>
  <c r="B16" i="13" a="1"/>
  <c r="K15" i="13" a="1"/>
  <c r="C15" i="13" a="1"/>
  <c r="M13" i="13" a="1"/>
  <c r="H12" i="13" a="1"/>
  <c r="L7" i="14" a="1"/>
  <c r="B25" i="13" a="1"/>
  <c r="H24" i="13" a="1"/>
  <c r="H23" i="13" a="1"/>
  <c r="N22" i="13" a="1"/>
  <c r="D21" i="13" a="1"/>
  <c r="J20" i="13" a="1"/>
  <c r="J25" i="13" a="1"/>
  <c r="E22" i="13" a="1"/>
  <c r="K21" i="13" a="1"/>
  <c r="A20" i="13" a="1"/>
  <c r="G19" i="13" a="1"/>
  <c r="F18" i="13" a="1"/>
  <c r="K17" i="13" a="1"/>
  <c r="H16" i="13" a="1"/>
  <c r="A16" i="13" a="1"/>
  <c r="B15" i="13" a="1"/>
  <c r="L13" i="13" a="1"/>
  <c r="D13" i="13" a="1"/>
  <c r="H11" i="13" a="1"/>
  <c r="K9" i="13" a="1"/>
  <c r="C9" i="13" a="1"/>
  <c r="F8" i="13" a="1"/>
  <c r="N7" i="13" a="1"/>
  <c r="H6" i="13" a="1"/>
  <c r="K24" i="12" a="1"/>
  <c r="D7" i="14" a="1"/>
  <c r="A25" i="13" a="1"/>
  <c r="G24" i="13" a="1"/>
  <c r="M22" i="13" a="1"/>
  <c r="C22" i="13" a="1"/>
  <c r="M18" i="13" a="1"/>
  <c r="C18" i="13" a="1"/>
  <c r="B17" i="13" a="1"/>
  <c r="H15" i="13" a="1"/>
  <c r="B14" i="13" a="1"/>
  <c r="M12" i="13" a="1"/>
  <c r="E12" i="13" a="1"/>
  <c r="N11" i="13" a="1"/>
  <c r="F11" i="13" a="1"/>
  <c r="I10" i="13" a="1"/>
  <c r="A10" i="13" a="1"/>
  <c r="L8" i="13" a="1"/>
  <c r="D8" i="13" a="1"/>
  <c r="G7" i="13" a="1"/>
  <c r="N6" i="13" a="1"/>
  <c r="N23" i="13" a="1"/>
  <c r="D23" i="13" a="1"/>
  <c r="J21" i="13" a="1"/>
  <c r="F19" i="13" a="1"/>
  <c r="G16" i="13" a="1"/>
  <c r="A15" i="13" a="1"/>
  <c r="H14" i="13" a="1"/>
  <c r="C13" i="13" a="1"/>
  <c r="O10" i="13" a="1"/>
  <c r="G10" i="13" a="1"/>
  <c r="J9" i="13" a="1"/>
  <c r="B9" i="13" a="1"/>
  <c r="M7" i="13" a="1"/>
  <c r="E7" i="13" a="1"/>
  <c r="G6" i="13" a="1"/>
  <c r="O25" i="12" a="1"/>
  <c r="G25" i="12" a="1"/>
  <c r="M6" i="14" a="1"/>
  <c r="F24" i="13" a="1"/>
  <c r="L23" i="13" a="1"/>
  <c r="G20" i="13" a="1"/>
  <c r="M19" i="13" a="1"/>
  <c r="L18" i="13" a="1"/>
  <c r="B18" i="13" a="1"/>
  <c r="N15" i="13" a="1"/>
  <c r="G15" i="13" a="1"/>
  <c r="A14" i="13" a="1"/>
  <c r="I13" i="13" a="1"/>
  <c r="D12" i="13" a="1"/>
  <c r="M11" i="13" a="1"/>
  <c r="E11" i="13" a="1"/>
  <c r="H9" i="13" a="1"/>
  <c r="K8" i="13" a="1"/>
  <c r="G25" i="13" a="1"/>
  <c r="M24" i="13" a="1"/>
  <c r="C23" i="13" a="1"/>
  <c r="I22" i="13" a="1"/>
  <c r="I21" i="13" a="1"/>
  <c r="O20" i="13" a="1"/>
  <c r="H17" i="13" a="1"/>
  <c r="M16" i="13" a="1"/>
  <c r="F16" i="13" a="1"/>
  <c r="G14" i="13" a="1"/>
  <c r="B13" i="13" a="1"/>
  <c r="J12" i="13" a="1"/>
  <c r="K11" i="13" a="1"/>
  <c r="N10" i="13" a="1"/>
  <c r="F10" i="13" a="1"/>
  <c r="A9" i="13" a="1"/>
  <c r="I8" i="13" a="1"/>
  <c r="L7" i="13" a="1"/>
  <c r="D7" i="13" a="1"/>
  <c r="F25" i="12" a="1"/>
  <c r="A24" i="12" a="1"/>
  <c r="I23" i="12" a="1"/>
  <c r="C21" i="12" a="1"/>
  <c r="M20" i="12" a="1"/>
  <c r="O15" i="12" a="1"/>
  <c r="J15" i="12" a="1"/>
  <c r="E15" i="12" a="1"/>
  <c r="O14" i="12" a="1"/>
  <c r="J14" i="12" a="1"/>
  <c r="E14" i="12" a="1"/>
  <c r="K13" i="12" a="1"/>
  <c r="F13" i="12" a="1"/>
  <c r="A13" i="12" a="1"/>
  <c r="L12" i="12" a="1"/>
  <c r="G12" i="12" a="1"/>
  <c r="B12" i="12" a="1"/>
  <c r="N12" i="13" a="1"/>
  <c r="D10" i="13" a="1"/>
  <c r="C8" i="13" a="1"/>
  <c r="I6" i="13" a="1"/>
  <c r="D21" i="12" a="1"/>
  <c r="J20" i="12" a="1"/>
  <c r="I18" i="12" a="1"/>
  <c r="A18" i="12" a="1"/>
  <c r="J16" i="12" a="1"/>
  <c r="C16" i="12" a="1"/>
  <c r="L15" i="12" a="1"/>
  <c r="F14" i="12" a="1"/>
  <c r="N13" i="12" a="1"/>
  <c r="I12" i="12" a="1"/>
  <c r="J11" i="12" a="1"/>
  <c r="E10" i="12" a="1"/>
  <c r="N9" i="12" a="1"/>
  <c r="H8" i="12" a="1"/>
  <c r="K7" i="12" a="1"/>
  <c r="E7" i="12" a="1"/>
  <c r="I6" i="12" a="1"/>
  <c r="O25" i="11" a="1"/>
  <c r="D25" i="11" a="1"/>
  <c r="N24" i="11" a="1"/>
  <c r="C24" i="11" a="1"/>
  <c r="H23" i="11" a="1"/>
  <c r="M22" i="11" a="1"/>
  <c r="B22" i="11" a="1"/>
  <c r="L21" i="11" a="1"/>
  <c r="A21" i="11" a="1"/>
  <c r="F20" i="11" a="1"/>
  <c r="K19" i="11" a="1"/>
  <c r="O18" i="11" a="1"/>
  <c r="I18" i="11" a="1"/>
  <c r="M17" i="11" a="1"/>
  <c r="B17" i="11" a="1"/>
  <c r="F16" i="11" a="1"/>
  <c r="O14" i="11" a="1"/>
  <c r="D14" i="11" a="1"/>
  <c r="I13" i="11" a="1"/>
  <c r="N12" i="11" a="1"/>
  <c r="G11" i="11" a="1"/>
  <c r="L10" i="11" a="1"/>
  <c r="A10" i="11" a="1"/>
  <c r="F9" i="11" a="1"/>
  <c r="E8" i="11" a="1"/>
  <c r="J7" i="11" a="1"/>
  <c r="N6" i="11" a="1"/>
  <c r="C6" i="11" a="1"/>
  <c r="O25" i="10" a="1"/>
  <c r="J25" i="10" a="1"/>
  <c r="E25" i="10" a="1"/>
  <c r="K24" i="10" a="1"/>
  <c r="F24" i="10" a="1"/>
  <c r="A24" i="10" a="1"/>
  <c r="L23" i="10" a="1"/>
  <c r="G23" i="10" a="1"/>
  <c r="B23" i="10" a="1"/>
  <c r="M22" i="10" a="1"/>
  <c r="H22" i="10" a="1"/>
  <c r="C22" i="10" a="1"/>
  <c r="C17" i="13" a="1"/>
  <c r="B10" i="13" a="1"/>
  <c r="O7" i="13" a="1"/>
  <c r="J25" i="12" a="1"/>
  <c r="M23" i="12" a="1"/>
  <c r="C23" i="12" a="1"/>
  <c r="G22" i="12" a="1"/>
  <c r="K21" i="12" a="1"/>
  <c r="I19" i="12" a="1"/>
  <c r="O18" i="12" a="1"/>
  <c r="H18" i="12" a="1"/>
  <c r="I17" i="12" a="1"/>
  <c r="A17" i="12" a="1"/>
  <c r="L14" i="12" a="1"/>
  <c r="G13" i="12" a="1"/>
  <c r="O12" i="12" a="1"/>
  <c r="C11" i="12" a="1"/>
  <c r="K10" i="12" a="1"/>
  <c r="F9" i="12" a="1"/>
  <c r="O8" i="12" a="1"/>
  <c r="A8" i="12" a="1"/>
  <c r="J7" i="12" a="1"/>
  <c r="N6" i="12" a="1"/>
  <c r="C6" i="12" a="1"/>
  <c r="I25" i="11" a="1"/>
  <c r="C25" i="11" a="1"/>
  <c r="H24" i="11" a="1"/>
  <c r="M23" i="11" a="1"/>
  <c r="B23" i="11" a="1"/>
  <c r="G22" i="11" a="1"/>
  <c r="A22" i="11" a="1"/>
  <c r="F21" i="11" a="1"/>
  <c r="K20" i="11" a="1"/>
  <c r="E19" i="11" a="1"/>
  <c r="N18" i="11" a="1"/>
  <c r="C18" i="11" a="1"/>
  <c r="G17" i="11" a="1"/>
  <c r="K16" i="11" a="1"/>
  <c r="E15" i="11" a="1"/>
  <c r="I14" i="11" a="1"/>
  <c r="N13" i="11" a="1"/>
  <c r="C13" i="11" a="1"/>
  <c r="B12" i="11" a="1"/>
  <c r="L11" i="11" a="1"/>
  <c r="A11" i="11" a="1"/>
  <c r="F10" i="11" a="1"/>
  <c r="K9" i="11" a="1"/>
  <c r="E9" i="11" a="1"/>
  <c r="J8" i="11" a="1"/>
  <c r="O7" i="11" a="1"/>
  <c r="D7" i="11" a="1"/>
  <c r="H6" i="11" a="1"/>
  <c r="L9" i="13" a="1"/>
  <c r="E6" i="13" a="1"/>
  <c r="O22" i="12" a="1"/>
  <c r="I20" i="12" a="1"/>
  <c r="O17" i="12" a="1"/>
  <c r="H17" i="12" a="1"/>
  <c r="I16" i="12" a="1"/>
  <c r="A16" i="12" a="1"/>
  <c r="K15" i="12" a="1"/>
  <c r="C15" i="12" a="1"/>
  <c r="M13" i="12" a="1"/>
  <c r="H12" i="12" a="1"/>
  <c r="I11" i="12" a="1"/>
  <c r="B11" i="12" a="1"/>
  <c r="D10" i="12" a="1"/>
  <c r="L9" i="12" a="1"/>
  <c r="G8" i="12" a="1"/>
  <c r="D7" i="12" a="1"/>
  <c r="H6" i="12" a="1"/>
  <c r="N25" i="11" a="1"/>
  <c r="H25" i="11" a="1"/>
  <c r="M24" i="11" a="1"/>
  <c r="B24" i="11" a="1"/>
  <c r="G23" i="11" a="1"/>
  <c r="L22" i="11" a="1"/>
  <c r="F22" i="11" a="1"/>
  <c r="K21" i="11" a="1"/>
  <c r="E20" i="11" a="1"/>
  <c r="J19" i="11" a="1"/>
  <c r="D19" i="11" a="1"/>
  <c r="H18" i="11" a="1"/>
  <c r="L17" i="11" a="1"/>
  <c r="A17" i="11" a="1"/>
  <c r="E16" i="11" a="1"/>
  <c r="J15" i="11" a="1"/>
  <c r="N14" i="11" a="1"/>
  <c r="C14" i="11" a="1"/>
  <c r="H13" i="11" a="1"/>
  <c r="G12" i="11" a="1"/>
  <c r="F11" i="11" a="1"/>
  <c r="K10" i="11" a="1"/>
  <c r="J9" i="11" a="1"/>
  <c r="O8" i="11" a="1"/>
  <c r="D8" i="11" a="1"/>
  <c r="I7" i="11" a="1"/>
  <c r="O11" i="13" a="1"/>
  <c r="H24" i="12" a="1"/>
  <c r="L23" i="12" a="1"/>
  <c r="E22" i="12" a="1"/>
  <c r="J21" i="12" a="1"/>
  <c r="H20" i="12" a="1"/>
  <c r="O19" i="12" a="1"/>
  <c r="F19" i="12" a="1"/>
  <c r="N18" i="12" a="1"/>
  <c r="F18" i="12" a="1"/>
  <c r="I11" i="13" a="1"/>
  <c r="B6" i="13" a="1"/>
  <c r="N22" i="12" a="1"/>
  <c r="M18" i="12" a="1"/>
  <c r="N17" i="12" a="1"/>
  <c r="F17" i="12" a="1"/>
  <c r="B15" i="12" a="1"/>
  <c r="L13" i="12" a="1"/>
  <c r="D13" i="12" a="1"/>
  <c r="H11" i="12" a="1"/>
  <c r="K9" i="12" a="1"/>
  <c r="D9" i="12" a="1"/>
  <c r="F8" i="12" a="1"/>
  <c r="E9" i="13" a="1"/>
  <c r="H7" i="13" a="1"/>
  <c r="B25" i="12" a="1"/>
  <c r="B22" i="12" a="1"/>
  <c r="I21" i="12" a="1"/>
  <c r="O20" i="12" a="1"/>
  <c r="E20" i="12" a="1"/>
  <c r="N19" i="12" a="1"/>
  <c r="E19" i="12" a="1"/>
  <c r="E18" i="12" a="1"/>
  <c r="M17" i="12" a="1"/>
  <c r="N16" i="12" a="1"/>
  <c r="F16" i="12" a="1"/>
  <c r="H15" i="12" a="1"/>
  <c r="B14" i="12" a="1"/>
  <c r="K14" i="13" a="1"/>
  <c r="A11" i="13" a="1"/>
  <c r="A25" i="12" a="1"/>
  <c r="C24" i="12" a="1"/>
  <c r="G23" i="12" a="1"/>
  <c r="M22" i="12" a="1"/>
  <c r="F21" i="12" a="1"/>
  <c r="K18" i="12" a="1"/>
  <c r="C14" i="13" a="1"/>
  <c r="M8" i="13" a="1"/>
  <c r="B7" i="13" a="1"/>
  <c r="N20" i="12" a="1"/>
  <c r="D20" i="12" a="1"/>
  <c r="K19" i="12" a="1"/>
  <c r="D19" i="12" a="1"/>
  <c r="D18" i="12" a="1"/>
  <c r="K17" i="12" a="1"/>
  <c r="E16" i="12" a="1"/>
  <c r="G15" i="12" a="1"/>
  <c r="A14" i="12" a="1"/>
  <c r="I13" i="12" a="1"/>
  <c r="D12" i="12" a="1"/>
  <c r="M11" i="12" a="1"/>
  <c r="E11" i="12" a="1"/>
  <c r="G8" i="13" a="1"/>
  <c r="O6" i="13" a="1"/>
  <c r="B24" i="12" a="1"/>
  <c r="E21" i="12" a="1"/>
  <c r="K20" i="12" a="1"/>
  <c r="J18" i="12" a="1"/>
  <c r="C18" i="12" a="1"/>
  <c r="D17" i="12" a="1"/>
  <c r="K16" i="12" a="1"/>
  <c r="M15" i="12" a="1"/>
  <c r="J10" i="13" a="1"/>
  <c r="M6" i="13" a="1"/>
  <c r="L24" i="12" a="1"/>
  <c r="D23" i="12" a="1"/>
  <c r="H22" i="12" a="1"/>
  <c r="O21" i="12" a="1"/>
  <c r="C20" i="12" a="1"/>
  <c r="J19" i="12" a="1"/>
  <c r="A19" i="12" a="1"/>
  <c r="J17" i="12" a="1"/>
  <c r="C17" i="12" a="1"/>
  <c r="D16" i="12" a="1"/>
  <c r="F15" i="12" a="1"/>
  <c r="M14" i="12" a="1"/>
  <c r="H13" i="12" a="1"/>
  <c r="C12" i="12" a="1"/>
  <c r="D11" i="12" a="1"/>
  <c r="M10" i="12" a="1"/>
  <c r="O9" i="12" a="1"/>
  <c r="G9" i="12" a="1"/>
  <c r="B8" i="12" a="1"/>
  <c r="L7" i="12" a="1"/>
  <c r="F7" i="12" a="1"/>
  <c r="O6" i="12" a="1"/>
  <c r="D6" i="12" a="1"/>
  <c r="M12" i="12" a="1"/>
  <c r="L11" i="12" a="1"/>
  <c r="I10" i="12" a="1"/>
  <c r="L8" i="12" a="1"/>
  <c r="J25" i="11" a="1"/>
  <c r="A25" i="11" a="1"/>
  <c r="J24" i="11" a="1"/>
  <c r="A24" i="11" a="1"/>
  <c r="A23" i="11" a="1"/>
  <c r="B21" i="11" a="1"/>
  <c r="B20" i="11" a="1"/>
  <c r="I19" i="11" a="1"/>
  <c r="B19" i="11" a="1"/>
  <c r="J18" i="11" a="1"/>
  <c r="A18" i="11" a="1"/>
  <c r="O16" i="11" a="1"/>
  <c r="O15" i="11" a="1"/>
  <c r="H15" i="11" a="1"/>
  <c r="G14" i="11" a="1"/>
  <c r="O11" i="11" a="1"/>
  <c r="O10" i="11" a="1"/>
  <c r="G7" i="11" a="1"/>
  <c r="O6" i="11" a="1"/>
  <c r="G6" i="11" a="1"/>
  <c r="A6" i="11" a="1"/>
  <c r="G25" i="10" a="1"/>
  <c r="L24" i="10" a="1"/>
  <c r="K23" i="10" a="1"/>
  <c r="E22" i="10" a="1"/>
  <c r="N15" i="10" a="1"/>
  <c r="I15" i="10" a="1"/>
  <c r="D15" i="10" a="1"/>
  <c r="N14" i="10" a="1"/>
  <c r="I14" i="10" a="1"/>
  <c r="D14" i="10" a="1"/>
  <c r="O13" i="10" a="1"/>
  <c r="J13" i="10" a="1"/>
  <c r="E13" i="10" a="1"/>
  <c r="K12" i="10" a="1"/>
  <c r="F12" i="10" a="1"/>
  <c r="A12" i="10" a="1"/>
  <c r="M25" i="9" a="1"/>
  <c r="H25" i="9" a="1"/>
  <c r="C25" i="9" a="1"/>
  <c r="N24" i="9" a="1"/>
  <c r="I24" i="9" a="1"/>
  <c r="D24" i="9" a="1"/>
  <c r="O23" i="9" a="1"/>
  <c r="J23" i="9" a="1"/>
  <c r="E23" i="9" a="1"/>
  <c r="K22" i="9" a="1"/>
  <c r="F22" i="9" a="1"/>
  <c r="A22" i="9" a="1"/>
  <c r="L21" i="9" a="1"/>
  <c r="G21" i="9" a="1"/>
  <c r="B21" i="9" a="1"/>
  <c r="M20" i="9" a="1"/>
  <c r="H20" i="9" a="1"/>
  <c r="C20" i="9" a="1"/>
  <c r="N19" i="9" a="1"/>
  <c r="I19" i="9" a="1"/>
  <c r="D19" i="9" a="1"/>
  <c r="N18" i="9" a="1"/>
  <c r="I18" i="9" a="1"/>
  <c r="D18" i="9" a="1"/>
  <c r="N17" i="9" a="1"/>
  <c r="I17" i="9" a="1"/>
  <c r="D17" i="9" a="1"/>
  <c r="N16" i="9" a="1"/>
  <c r="I16" i="9" a="1"/>
  <c r="D16" i="9" a="1"/>
  <c r="H10" i="12" a="1"/>
  <c r="J9" i="12" a="1"/>
  <c r="N7" i="12" a="1"/>
  <c r="K6" i="12" a="1"/>
  <c r="A6" i="12" a="1"/>
  <c r="I24" i="11" a="1"/>
  <c r="I23" i="11" a="1"/>
  <c r="I22" i="11" a="1"/>
  <c r="I21" i="11" a="1"/>
  <c r="I20" i="11" a="1"/>
  <c r="H17" i="11" a="1"/>
  <c r="N16" i="11" a="1"/>
  <c r="G16" i="11" a="1"/>
  <c r="O13" i="11" a="1"/>
  <c r="F13" i="11" a="1"/>
  <c r="O12" i="11" a="1"/>
  <c r="F12" i="11" a="1"/>
  <c r="N10" i="11" a="1"/>
  <c r="G10" i="11" a="1"/>
  <c r="N9" i="11" a="1"/>
  <c r="G9" i="11" a="1"/>
  <c r="N8" i="11" a="1"/>
  <c r="G8" i="11" a="1"/>
  <c r="N7" i="11" a="1"/>
  <c r="L25" i="10" a="1"/>
  <c r="A25" i="10" a="1"/>
  <c r="E23" i="10" a="1"/>
  <c r="J22" i="10" a="1"/>
  <c r="O21" i="10" a="1"/>
  <c r="J21" i="10" a="1"/>
  <c r="E21" i="10" a="1"/>
  <c r="K20" i="10" a="1"/>
  <c r="F20" i="10" a="1"/>
  <c r="A20" i="10" a="1"/>
  <c r="L19" i="10" a="1"/>
  <c r="G19" i="10" a="1"/>
  <c r="B19" i="10" a="1"/>
  <c r="L18" i="10" a="1"/>
  <c r="G18" i="10" a="1"/>
  <c r="B18" i="10" a="1"/>
  <c r="L17" i="10" a="1"/>
  <c r="G17" i="10" a="1"/>
  <c r="B17" i="10" a="1"/>
  <c r="L16" i="10" a="1"/>
  <c r="G16" i="10" a="1"/>
  <c r="B16" i="10" a="1"/>
  <c r="K11" i="10" a="1"/>
  <c r="F11" i="10" a="1"/>
  <c r="A11" i="10" a="1"/>
  <c r="L10" i="10" a="1"/>
  <c r="G10" i="10" a="1"/>
  <c r="B10" i="10" a="1"/>
  <c r="M9" i="10" a="1"/>
  <c r="H9" i="10" a="1"/>
  <c r="C9" i="10" a="1"/>
  <c r="N8" i="10" a="1"/>
  <c r="I8" i="10" a="1"/>
  <c r="D8" i="10" a="1"/>
  <c r="O7" i="10" a="1"/>
  <c r="J7" i="10" a="1"/>
  <c r="E7" i="10" a="1"/>
  <c r="O6" i="10" a="1"/>
  <c r="J6" i="10" a="1"/>
  <c r="E6" i="10" a="1"/>
  <c r="O15" i="9" a="1"/>
  <c r="J15" i="9" a="1"/>
  <c r="E15" i="9" a="1"/>
  <c r="O14" i="9" a="1"/>
  <c r="J12" i="12" a="1"/>
  <c r="G11" i="12" a="1"/>
  <c r="I9" i="12" a="1"/>
  <c r="K8" i="12" a="1"/>
  <c r="C7" i="12" a="1"/>
  <c r="J6" i="12" a="1"/>
  <c r="G25" i="11" a="1"/>
  <c r="G24" i="11" a="1"/>
  <c r="H20" i="11" a="1"/>
  <c r="A20" i="11" a="1"/>
  <c r="H19" i="11" a="1"/>
  <c r="A19" i="11" a="1"/>
  <c r="G18" i="11" a="1"/>
  <c r="O17" i="11" a="1"/>
  <c r="F17" i="11" a="1"/>
  <c r="N15" i="11" a="1"/>
  <c r="G15" i="11" a="1"/>
  <c r="M14" i="11" a="1"/>
  <c r="M13" i="11" a="1"/>
  <c r="N11" i="11" a="1"/>
  <c r="E11" i="11" a="1"/>
  <c r="E10" i="11" a="1"/>
  <c r="F8" i="11" a="1"/>
  <c r="F7" i="11" a="1"/>
  <c r="M6" i="11" a="1"/>
  <c r="F6" i="11" a="1"/>
  <c r="F25" i="10" a="1"/>
  <c r="E24" i="10" a="1"/>
  <c r="J23" i="10" a="1"/>
  <c r="O22" i="10" a="1"/>
  <c r="D22" i="10" a="1"/>
  <c r="M15" i="10" a="1"/>
  <c r="H15" i="10" a="1"/>
  <c r="C15" i="10" a="1"/>
  <c r="M14" i="10" a="1"/>
  <c r="H14" i="10" a="1"/>
  <c r="C14" i="10" a="1"/>
  <c r="N13" i="10" a="1"/>
  <c r="I13" i="10" a="1"/>
  <c r="D13" i="10" a="1"/>
  <c r="O12" i="10" a="1"/>
  <c r="J12" i="10" a="1"/>
  <c r="E12" i="10" a="1"/>
  <c r="L25" i="9" a="1"/>
  <c r="G25" i="9" a="1"/>
  <c r="B25" i="9" a="1"/>
  <c r="M24" i="9" a="1"/>
  <c r="H24" i="9" a="1"/>
  <c r="C24" i="9" a="1"/>
  <c r="N23" i="9" a="1"/>
  <c r="I23" i="9" a="1"/>
  <c r="D23" i="9" a="1"/>
  <c r="O22" i="9" a="1"/>
  <c r="J22" i="9" a="1"/>
  <c r="E22" i="9" a="1"/>
  <c r="K21" i="9" a="1"/>
  <c r="F21" i="9" a="1"/>
  <c r="E17" i="12" a="1"/>
  <c r="A15" i="12" a="1"/>
  <c r="F10" i="12" a="1"/>
  <c r="J8" i="12" a="1"/>
  <c r="M7" i="12" a="1"/>
  <c r="O23" i="11" a="1"/>
  <c r="O22" i="11" a="1"/>
  <c r="H22" i="11" a="1"/>
  <c r="O21" i="11" a="1"/>
  <c r="H21" i="11" a="1"/>
  <c r="O20" i="11" a="1"/>
  <c r="O19" i="11" a="1"/>
  <c r="N17" i="11" a="1"/>
  <c r="M16" i="11" a="1"/>
  <c r="D16" i="11" a="1"/>
  <c r="E14" i="11" a="1"/>
  <c r="E13" i="11" a="1"/>
  <c r="L12" i="11" a="1"/>
  <c r="E12" i="11" a="1"/>
  <c r="M11" i="11" a="1"/>
  <c r="M10" i="11" a="1"/>
  <c r="O16" i="12" a="1"/>
  <c r="E12" i="12" a="1"/>
  <c r="C10" i="12" a="1"/>
  <c r="E9" i="12" a="1"/>
  <c r="B7" i="12" a="1"/>
  <c r="G6" i="12" a="1"/>
  <c r="M25" i="11" a="1"/>
  <c r="F25" i="11" a="1"/>
  <c r="O24" i="11" a="1"/>
  <c r="F24" i="11" a="1"/>
  <c r="F23" i="11" a="1"/>
  <c r="G21" i="11" a="1"/>
  <c r="G20" i="11" a="1"/>
  <c r="N19" i="11" a="1"/>
  <c r="G19" i="11" a="1"/>
  <c r="M18" i="11" a="1"/>
  <c r="F18" i="11" a="1"/>
  <c r="E17" i="11" a="1"/>
  <c r="M15" i="11" a="1"/>
  <c r="D15" i="11" a="1"/>
  <c r="L14" i="11" a="1"/>
  <c r="K11" i="11" a="1"/>
  <c r="D11" i="11" a="1"/>
  <c r="M16" i="12" a="1"/>
  <c r="K14" i="12" a="1"/>
  <c r="A10" i="12" a="1"/>
  <c r="E8" i="12" a="1"/>
  <c r="I7" i="12" a="1"/>
  <c r="N23" i="11" a="1"/>
  <c r="E23" i="11" a="1"/>
  <c r="N22" i="11" a="1"/>
  <c r="E22" i="11" a="1"/>
  <c r="N21" i="11" a="1"/>
  <c r="E21" i="11" a="1"/>
  <c r="N20" i="11" a="1"/>
  <c r="D17" i="11" a="1"/>
  <c r="L16" i="11" a="1"/>
  <c r="C16" i="11" a="1"/>
  <c r="K13" i="11" a="1"/>
  <c r="D13" i="11" a="1"/>
  <c r="K12" i="11" a="1"/>
  <c r="D12" i="11" a="1"/>
  <c r="C11" i="11" a="1"/>
  <c r="C10" i="11" a="1"/>
  <c r="H16" i="12" a="1"/>
  <c r="H14" i="12" a="1"/>
  <c r="B9" i="12" a="1"/>
  <c r="A7" i="12" a="1"/>
  <c r="F6" i="12" a="1"/>
  <c r="L25" i="11" a="1"/>
  <c r="E25" i="11" a="1"/>
  <c r="L24" i="11" a="1"/>
  <c r="G14" i="12" a="1"/>
  <c r="C13" i="12" a="1"/>
  <c r="O11" i="12" a="1"/>
  <c r="O10" i="12" a="1"/>
  <c r="C8" i="12" a="1"/>
  <c r="H7" i="12" a="1"/>
  <c r="M6" i="12" a="1"/>
  <c r="E6" i="12" a="1"/>
  <c r="D24" i="11" a="1"/>
  <c r="D23" i="11" a="1"/>
  <c r="K22" i="11" a="1"/>
  <c r="D22" i="11" a="1"/>
  <c r="M21" i="11" a="1"/>
  <c r="D21" i="11" a="1"/>
  <c r="D20" i="11" a="1"/>
  <c r="D18" i="11" a="1"/>
  <c r="C17" i="11" a="1"/>
  <c r="I16" i="11" a="1"/>
  <c r="B16" i="11" a="1"/>
  <c r="J14" i="11" a="1"/>
  <c r="J13" i="11" a="1"/>
  <c r="A13" i="11" a="1"/>
  <c r="C14" i="12" a="1"/>
  <c r="B13" i="12" a="1"/>
  <c r="N11" i="12" a="1"/>
  <c r="N10" i="12" a="1"/>
  <c r="A9" i="12" a="1"/>
  <c r="K25" i="11" a="1"/>
  <c r="B25" i="11" a="1"/>
  <c r="K24" i="11" a="1"/>
  <c r="K23" i="11" a="1"/>
  <c r="L20" i="11" a="1"/>
  <c r="C20" i="11" a="1"/>
  <c r="L19" i="11" a="1"/>
  <c r="C19" i="11" a="1"/>
  <c r="K18" i="11" a="1"/>
  <c r="B18" i="11" a="1"/>
  <c r="J17" i="11" a="1"/>
  <c r="I15" i="11" a="1"/>
  <c r="B15" i="11" a="1"/>
  <c r="H14" i="11" a="1"/>
  <c r="I11" i="11" a="1"/>
  <c r="A8" i="11" a="1"/>
  <c r="A7" i="11" a="1"/>
  <c r="B6" i="11" a="1"/>
  <c r="H25" i="10" a="1"/>
  <c r="M24" i="10" a="1"/>
  <c r="B24" i="10" a="1"/>
  <c r="A23" i="10" a="1"/>
  <c r="F22" i="10" a="1"/>
  <c r="O15" i="10" a="1"/>
  <c r="J15" i="10" a="1"/>
  <c r="E15" i="10" a="1"/>
  <c r="O14" i="10" a="1"/>
  <c r="J14" i="10" a="1"/>
  <c r="E14" i="10" a="1"/>
  <c r="K13" i="10" a="1"/>
  <c r="F13" i="10" a="1"/>
  <c r="A13" i="10" a="1"/>
  <c r="L12" i="10" a="1"/>
  <c r="G12" i="10" a="1"/>
  <c r="B12" i="10" a="1"/>
  <c r="B6" i="12" a="1"/>
  <c r="M20" i="11" a="1"/>
  <c r="E18" i="11" a="1"/>
  <c r="L15" i="11" a="1"/>
  <c r="H11" i="11" a="1"/>
  <c r="O9" i="11" a="1"/>
  <c r="A9" i="11" a="1"/>
  <c r="B8" i="11" a="1"/>
  <c r="C7" i="11" a="1"/>
  <c r="H24" i="10" a="1"/>
  <c r="N23" i="10" a="1"/>
  <c r="D23" i="10" a="1"/>
  <c r="L22" i="10" a="1"/>
  <c r="B22" i="10" a="1"/>
  <c r="I21" i="10" a="1"/>
  <c r="B21" i="10" a="1"/>
  <c r="I20" i="10" a="1"/>
  <c r="I19" i="10" a="1"/>
  <c r="O18" i="10" a="1"/>
  <c r="F18" i="10" a="1"/>
  <c r="N17" i="10" a="1"/>
  <c r="E17" i="10" a="1"/>
  <c r="K16" i="10" a="1"/>
  <c r="D16" i="10" a="1"/>
  <c r="O11" i="10" a="1"/>
  <c r="H11" i="10" a="1"/>
  <c r="I10" i="10" a="1"/>
  <c r="A10" i="10" a="1"/>
  <c r="D9" i="10" a="1"/>
  <c r="L8" i="10" a="1"/>
  <c r="G7" i="10" a="1"/>
  <c r="N6" i="10" a="1"/>
  <c r="A6" i="10" a="1"/>
  <c r="I25" i="9" a="1"/>
  <c r="A25" i="9" a="1"/>
  <c r="L23" i="9" a="1"/>
  <c r="G22" i="9" a="1"/>
  <c r="O21" i="9" a="1"/>
  <c r="A21" i="9" a="1"/>
  <c r="K20" i="9" a="1"/>
  <c r="E20" i="9" a="1"/>
  <c r="O19" i="9" a="1"/>
  <c r="H19" i="9" a="1"/>
  <c r="B19" i="9" a="1"/>
  <c r="K18" i="9" a="1"/>
  <c r="E18" i="9" a="1"/>
  <c r="M17" i="9" a="1"/>
  <c r="G17" i="9" a="1"/>
  <c r="A17" i="9" a="1"/>
  <c r="J16" i="9" a="1"/>
  <c r="C16" i="9" a="1"/>
  <c r="H15" i="9" a="1"/>
  <c r="L14" i="9" a="1"/>
  <c r="G14" i="9" a="1"/>
  <c r="B14" i="9" a="1"/>
  <c r="M13" i="9" a="1"/>
  <c r="H13" i="9" a="1"/>
  <c r="C13" i="9" a="1"/>
  <c r="N12" i="9" a="1"/>
  <c r="I12" i="9" a="1"/>
  <c r="D12" i="9" a="1"/>
  <c r="K25" i="8" a="1"/>
  <c r="F25" i="8" a="1"/>
  <c r="A25" i="8" a="1"/>
  <c r="L24" i="8" a="1"/>
  <c r="G24" i="8" a="1"/>
  <c r="B24" i="8" a="1"/>
  <c r="M23" i="8" a="1"/>
  <c r="H23" i="8" a="1"/>
  <c r="C23" i="8" a="1"/>
  <c r="N22" i="8" a="1"/>
  <c r="I22" i="8" a="1"/>
  <c r="D22" i="8" a="1"/>
  <c r="O21" i="8" a="1"/>
  <c r="J21" i="8" a="1"/>
  <c r="E21" i="8" a="1"/>
  <c r="K20" i="8" a="1"/>
  <c r="F20" i="8" a="1"/>
  <c r="A20" i="8" a="1"/>
  <c r="L19" i="8" a="1"/>
  <c r="G19" i="8" a="1"/>
  <c r="B19" i="8" a="1"/>
  <c r="L18" i="8" a="1"/>
  <c r="G18" i="8" a="1"/>
  <c r="B18" i="8" a="1"/>
  <c r="L17" i="8" a="1"/>
  <c r="G17" i="8" a="1"/>
  <c r="B17" i="8" a="1"/>
  <c r="L16" i="8" a="1"/>
  <c r="G16" i="8" a="1"/>
  <c r="B16" i="8" a="1"/>
  <c r="K11" i="8" a="1"/>
  <c r="F11" i="8" a="1"/>
  <c r="A11" i="8" a="1"/>
  <c r="L10" i="8" a="1"/>
  <c r="G10" i="8" a="1"/>
  <c r="C23" i="11" a="1"/>
  <c r="J20" i="11" a="1"/>
  <c r="M9" i="11" a="1"/>
  <c r="M8" i="11" a="1"/>
  <c r="B7" i="11" a="1"/>
  <c r="E6" i="11" a="1"/>
  <c r="I25" i="10" a="1"/>
  <c r="O24" i="10" a="1"/>
  <c r="G24" i="10" a="1"/>
  <c r="K22" i="10" a="1"/>
  <c r="A21" i="10" a="1"/>
  <c r="H19" i="10" a="1"/>
  <c r="M17" i="10" a="1"/>
  <c r="C16" i="10" a="1"/>
  <c r="K15" i="10" a="1"/>
  <c r="B15" i="10" a="1"/>
  <c r="A14" i="10" a="1"/>
  <c r="H13" i="10" a="1"/>
  <c r="H12" i="10" a="1"/>
  <c r="G11" i="10" a="1"/>
  <c r="O10" i="10" a="1"/>
  <c r="J9" i="10" a="1"/>
  <c r="B9" i="10" a="1"/>
  <c r="E8" i="10" a="1"/>
  <c r="M7" i="10" a="1"/>
  <c r="G6" i="10" a="1"/>
  <c r="O25" i="9" a="1"/>
  <c r="J24" i="9" a="1"/>
  <c r="B24" i="9" a="1"/>
  <c r="M22" i="9" a="1"/>
  <c r="H21" i="9" a="1"/>
  <c r="M15" i="9" a="1"/>
  <c r="B15" i="9" a="1"/>
  <c r="N11" i="9" a="1"/>
  <c r="I11" i="9" a="1"/>
  <c r="D11" i="9" a="1"/>
  <c r="O10" i="9" a="1"/>
  <c r="J10" i="9" a="1"/>
  <c r="E10" i="9" a="1"/>
  <c r="K9" i="9" a="1"/>
  <c r="F9" i="9" a="1"/>
  <c r="A9" i="9" a="1"/>
  <c r="L8" i="9" a="1"/>
  <c r="G8" i="9" a="1"/>
  <c r="B8" i="9" a="1"/>
  <c r="M7" i="9" a="1"/>
  <c r="H7" i="9" a="1"/>
  <c r="C7" i="9" a="1"/>
  <c r="M6" i="9" a="1"/>
  <c r="H6" i="9" a="1"/>
  <c r="C6" i="9" a="1"/>
  <c r="M15" i="8" a="1"/>
  <c r="H15" i="8" a="1"/>
  <c r="C15" i="8" a="1"/>
  <c r="M14" i="8" a="1"/>
  <c r="H14" i="8" a="1"/>
  <c r="C14" i="8" a="1"/>
  <c r="N13" i="8" a="1"/>
  <c r="I13" i="8" a="1"/>
  <c r="D13" i="8" a="1"/>
  <c r="O12" i="8" a="1"/>
  <c r="J12" i="8" a="1"/>
  <c r="E12" i="8" a="1"/>
  <c r="L25" i="7" a="1"/>
  <c r="G25" i="7" a="1"/>
  <c r="B25" i="7" a="1"/>
  <c r="M24" i="7" a="1"/>
  <c r="H24" i="7" a="1"/>
  <c r="C24" i="7" a="1"/>
  <c r="N23" i="7" a="1"/>
  <c r="I23" i="7" a="1"/>
  <c r="D23" i="7" a="1"/>
  <c r="O22" i="7" a="1"/>
  <c r="J22" i="7" a="1"/>
  <c r="E22" i="7" a="1"/>
  <c r="K21" i="7" a="1"/>
  <c r="F21" i="7" a="1"/>
  <c r="A21" i="7" a="1"/>
  <c r="L20" i="7" a="1"/>
  <c r="G20" i="7" a="1"/>
  <c r="B20" i="7" a="1"/>
  <c r="M19" i="7" a="1"/>
  <c r="H19" i="7" a="1"/>
  <c r="C19" i="7" a="1"/>
  <c r="M18" i="7" a="1"/>
  <c r="H18" i="7" a="1"/>
  <c r="N12" i="12" a="1"/>
  <c r="K17" i="11" a="1"/>
  <c r="C15" i="11" a="1"/>
  <c r="B11" i="11" a="1"/>
  <c r="L9" i="11" a="1"/>
  <c r="L8" i="11" a="1"/>
  <c r="M7" i="11" a="1"/>
  <c r="M23" i="10" a="1"/>
  <c r="C23" i="10" a="1"/>
  <c r="I22" i="10" a="1"/>
  <c r="A22" i="10" a="1"/>
  <c r="H21" i="10" a="1"/>
  <c r="O20" i="10" a="1"/>
  <c r="H20" i="10" a="1"/>
  <c r="O19" i="10" a="1"/>
  <c r="F19" i="10" a="1"/>
  <c r="N18" i="10" a="1"/>
  <c r="E18" i="10" a="1"/>
  <c r="K17" i="10" a="1"/>
  <c r="D17" i="10" a="1"/>
  <c r="J16" i="10" a="1"/>
  <c r="A16" i="10" a="1"/>
  <c r="N11" i="10" a="1"/>
  <c r="E11" i="10" a="1"/>
  <c r="H10" i="10" a="1"/>
  <c r="K8" i="10" a="1"/>
  <c r="C8" i="10" a="1"/>
  <c r="F7" i="10" a="1"/>
  <c r="M6" i="10" a="1"/>
  <c r="K23" i="9" a="1"/>
  <c r="C23" i="9" a="1"/>
  <c r="N21" i="9" a="1"/>
  <c r="J20" i="9" a="1"/>
  <c r="D20" i="9" a="1"/>
  <c r="M19" i="9" a="1"/>
  <c r="G19" i="9" a="1"/>
  <c r="A19" i="9" a="1"/>
  <c r="J18" i="9" a="1"/>
  <c r="C18" i="9" a="1"/>
  <c r="L17" i="9" a="1"/>
  <c r="F17" i="9" a="1"/>
  <c r="O16" i="9" a="1"/>
  <c r="H16" i="9" a="1"/>
  <c r="B16" i="9" a="1"/>
  <c r="G15" i="9" a="1"/>
  <c r="K14" i="9" a="1"/>
  <c r="F14" i="9" a="1"/>
  <c r="A14" i="9" a="1"/>
  <c r="L13" i="9" a="1"/>
  <c r="G13" i="9" a="1"/>
  <c r="B13" i="9" a="1"/>
  <c r="M12" i="9" a="1"/>
  <c r="H12" i="9" a="1"/>
  <c r="C12" i="9" a="1"/>
  <c r="O25" i="8" a="1"/>
  <c r="J25" i="8" a="1"/>
  <c r="E25" i="8" a="1"/>
  <c r="K24" i="8" a="1"/>
  <c r="F24" i="8" a="1"/>
  <c r="A24" i="8" a="1"/>
  <c r="L23" i="8" a="1"/>
  <c r="G23" i="8" a="1"/>
  <c r="B23" i="8" a="1"/>
  <c r="M22" i="8" a="1"/>
  <c r="H22" i="8" a="1"/>
  <c r="C22" i="8" a="1"/>
  <c r="N21" i="8" a="1"/>
  <c r="I21" i="8" a="1"/>
  <c r="D21" i="8" a="1"/>
  <c r="O20" i="8" a="1"/>
  <c r="J20" i="8" a="1"/>
  <c r="E20" i="8" a="1"/>
  <c r="K19" i="8" a="1"/>
  <c r="F19" i="8" a="1"/>
  <c r="A19" i="8" a="1"/>
  <c r="K18" i="8" a="1"/>
  <c r="F18" i="8" a="1"/>
  <c r="A18" i="8" a="1"/>
  <c r="K17" i="8" a="1"/>
  <c r="F17" i="8" a="1"/>
  <c r="A17" i="8" a="1"/>
  <c r="K16" i="8" a="1"/>
  <c r="F16" i="8" a="1"/>
  <c r="A16" i="8" a="1"/>
  <c r="O11" i="8" a="1"/>
  <c r="J11" i="8" a="1"/>
  <c r="E11" i="8" a="1"/>
  <c r="K10" i="8" a="1"/>
  <c r="F10" i="8" a="1"/>
  <c r="A10" i="8" a="1"/>
  <c r="L9" i="8" a="1"/>
  <c r="J22" i="11" a="1"/>
  <c r="I17" i="11" a="1"/>
  <c r="J12" i="11" a="1"/>
  <c r="K8" i="11" a="1"/>
  <c r="L7" i="11" a="1"/>
  <c r="D6" i="11" a="1"/>
  <c r="N24" i="10" a="1"/>
  <c r="D24" i="10" a="1"/>
  <c r="G20" i="10" a="1"/>
  <c r="M18" i="10" a="1"/>
  <c r="C17" i="10" a="1"/>
  <c r="A15" i="10" a="1"/>
  <c r="G14" i="10" a="1"/>
  <c r="G13" i="10" a="1"/>
  <c r="N12" i="10" a="1"/>
  <c r="N10" i="10" a="1"/>
  <c r="F10" i="10" a="1"/>
  <c r="J10" i="12" a="1"/>
  <c r="M19" i="11" a="1"/>
  <c r="I12" i="11" a="1"/>
  <c r="J10" i="11" a="1"/>
  <c r="I9" i="11" a="1"/>
  <c r="I8" i="11" a="1"/>
  <c r="L6" i="11" a="1"/>
  <c r="N21" i="10" a="1"/>
  <c r="G21" i="10" a="1"/>
  <c r="N20" i="10" a="1"/>
  <c r="E20" i="10" a="1"/>
  <c r="N19" i="10" a="1"/>
  <c r="E19" i="10" a="1"/>
  <c r="K18" i="10" a="1"/>
  <c r="D18" i="10" a="1"/>
  <c r="J17" i="10" a="1"/>
  <c r="A17" i="10" a="1"/>
  <c r="I16" i="10" a="1"/>
  <c r="M11" i="10" a="1"/>
  <c r="D11" i="10" a="1"/>
  <c r="O9" i="10" a="1"/>
  <c r="G9" i="10" a="1"/>
  <c r="J8" i="10" a="1"/>
  <c r="B8" i="10" a="1"/>
  <c r="L6" i="10" a="1"/>
  <c r="D6" i="10" a="1"/>
  <c r="O24" i="9" a="1"/>
  <c r="G24" i="9" a="1"/>
  <c r="B23" i="9" a="1"/>
  <c r="M21" i="9" a="1"/>
  <c r="E21" i="9" a="1"/>
  <c r="O20" i="9" a="1"/>
  <c r="I20" i="9" a="1"/>
  <c r="B20" i="9" a="1"/>
  <c r="L19" i="9" a="1"/>
  <c r="F19" i="9" a="1"/>
  <c r="O18" i="9" a="1"/>
  <c r="H18" i="9" a="1"/>
  <c r="B18" i="9" a="1"/>
  <c r="K17" i="9" a="1"/>
  <c r="E17" i="9" a="1"/>
  <c r="M16" i="9" a="1"/>
  <c r="C22" i="11" a="1"/>
  <c r="I10" i="11" a="1"/>
  <c r="H9" i="11" a="1"/>
  <c r="H8" i="11" a="1"/>
  <c r="K7" i="11" a="1"/>
  <c r="C24" i="10" a="1"/>
  <c r="I23" i="10" a="1"/>
  <c r="G22" i="10" a="1"/>
  <c r="F21" i="10" a="1"/>
  <c r="M19" i="10" a="1"/>
  <c r="C18" i="10" a="1"/>
  <c r="H16" i="10" a="1"/>
  <c r="G15" i="10" a="1"/>
  <c r="F14" i="10" a="1"/>
  <c r="M13" i="10" a="1"/>
  <c r="M12" i="10" a="1"/>
  <c r="D12" i="10" a="1"/>
  <c r="L11" i="10" a="1"/>
  <c r="M10" i="10" a="1"/>
  <c r="E10" i="10" a="1"/>
  <c r="H8" i="10" a="1"/>
  <c r="K7" i="10" a="1"/>
  <c r="C7" i="10" a="1"/>
  <c r="E25" i="9" a="1"/>
  <c r="H23" i="9" a="1"/>
  <c r="C22" i="9" a="1"/>
  <c r="K15" i="9" a="1"/>
  <c r="L11" i="9" a="1"/>
  <c r="G11" i="9" a="1"/>
  <c r="B11" i="9" a="1"/>
  <c r="M8" i="12" a="1"/>
  <c r="E24" i="11" a="1"/>
  <c r="F19" i="11" a="1"/>
  <c r="J16" i="11" a="1"/>
  <c r="B14" i="11" a="1"/>
  <c r="A12" i="11" a="1"/>
  <c r="H10" i="11" a="1"/>
  <c r="D9" i="11" a="1"/>
  <c r="K6" i="11" a="1"/>
  <c r="N25" i="10" a="1"/>
  <c r="D25" i="10" a="1"/>
  <c r="J24" i="10" a="1"/>
  <c r="M21" i="10" a="1"/>
  <c r="D21" i="10" a="1"/>
  <c r="M20" i="10" a="1"/>
  <c r="D20" i="10" a="1"/>
  <c r="K19" i="10" a="1"/>
  <c r="D19" i="10" a="1"/>
  <c r="J18" i="10" a="1"/>
  <c r="A18" i="10" a="1"/>
  <c r="I17" i="10" a="1"/>
  <c r="O16" i="10" a="1"/>
  <c r="F16" i="10" a="1"/>
  <c r="O7" i="12" a="1"/>
  <c r="J21" i="11" a="1"/>
  <c r="H16" i="11" a="1"/>
  <c r="D10" i="11" a="1"/>
  <c r="C9" i="11" a="1"/>
  <c r="H7" i="11" a="1"/>
  <c r="M25" i="10" a="1"/>
  <c r="H23" i="10" a="1"/>
  <c r="N22" i="10" a="1"/>
  <c r="L20" i="10" a="1"/>
  <c r="C19" i="10" a="1"/>
  <c r="H17" i="10" a="1"/>
  <c r="F15" i="10" a="1"/>
  <c r="L14" i="10" a="1"/>
  <c r="L13" i="10" a="1"/>
  <c r="C13" i="10" a="1"/>
  <c r="C12" i="10" a="1"/>
  <c r="D10" i="10" a="1"/>
  <c r="L9" i="10" a="1"/>
  <c r="O8" i="10" a="1"/>
  <c r="G8" i="10" a="1"/>
  <c r="B7" i="10" a="1"/>
  <c r="I6" i="10" a="1"/>
  <c r="D25" i="9" a="1"/>
  <c r="L24" i="9" a="1"/>
  <c r="G23" i="9" a="1"/>
  <c r="B22" i="9" a="1"/>
  <c r="J21" i="9" a="1"/>
  <c r="D15" i="9" a="1"/>
  <c r="K11" i="9" a="1"/>
  <c r="F11" i="9" a="1"/>
  <c r="A11" i="9" a="1"/>
  <c r="G7" i="12" a="1"/>
  <c r="L23" i="11" a="1"/>
  <c r="L18" i="11" a="1"/>
  <c r="J11" i="11" a="1"/>
  <c r="C8" i="11" a="1"/>
  <c r="J6" i="11" a="1"/>
  <c r="K25" i="10" a="1"/>
  <c r="C25" i="10" a="1"/>
  <c r="I24" i="10" a="1"/>
  <c r="O23" i="10" a="1"/>
  <c r="L21" i="10" a="1"/>
  <c r="C21" i="10" a="1"/>
  <c r="J20" i="10" a="1"/>
  <c r="C20" i="10" a="1"/>
  <c r="J19" i="10" a="1"/>
  <c r="A19" i="10" a="1"/>
  <c r="I18" i="10" a="1"/>
  <c r="O17" i="10" a="1"/>
  <c r="F17" i="10" a="1"/>
  <c r="N16" i="10" a="1"/>
  <c r="E16" i="10" a="1"/>
  <c r="I11" i="10" a="1"/>
  <c r="B11" i="10" a="1"/>
  <c r="J10" i="10" a="1"/>
  <c r="E9" i="10" a="1"/>
  <c r="M8" i="10" a="1"/>
  <c r="H7" i="10" a="1"/>
  <c r="B6" i="10" a="1"/>
  <c r="J25" i="9" a="1"/>
  <c r="E24" i="9" a="1"/>
  <c r="M23" i="9" a="1"/>
  <c r="H22" i="9" a="1"/>
  <c r="C21" i="9" a="1"/>
  <c r="L20" i="9" a="1"/>
  <c r="F20" i="9" a="1"/>
  <c r="J19" i="9" a="1"/>
  <c r="C19" i="9" a="1"/>
  <c r="L18" i="9" a="1"/>
  <c r="F18" i="9" a="1"/>
  <c r="O17" i="9" a="1"/>
  <c r="H17" i="9" a="1"/>
  <c r="B17" i="9" a="1"/>
  <c r="K16" i="9" a="1"/>
  <c r="L6" i="12" a="1"/>
  <c r="J23" i="11" a="1"/>
  <c r="C21" i="11" a="1"/>
  <c r="A16" i="11" a="1"/>
  <c r="B10" i="11" a="1"/>
  <c r="B9" i="11" a="1"/>
  <c r="E7" i="11" a="1"/>
  <c r="I6" i="11" a="1"/>
  <c r="B25" i="10" a="1"/>
  <c r="F23" i="10" a="1"/>
  <c r="K21" i="10" a="1"/>
  <c r="B20" i="10" a="1"/>
  <c r="H18" i="10" a="1"/>
  <c r="M16" i="10" a="1"/>
  <c r="L15" i="10" a="1"/>
  <c r="K14" i="10" a="1"/>
  <c r="B14" i="10" a="1"/>
  <c r="B13" i="10" a="1"/>
  <c r="I12" i="10" a="1"/>
  <c r="C10" i="10" a="1"/>
  <c r="K9" i="10" a="1"/>
  <c r="F8" i="10" a="1"/>
  <c r="N7" i="10" a="1"/>
  <c r="A7" i="10" a="1"/>
  <c r="H6" i="10" a="1"/>
  <c r="K24" i="9" a="1"/>
  <c r="F23" i="9" a="1"/>
  <c r="N22" i="9" a="1"/>
  <c r="I21" i="9" a="1"/>
  <c r="N15" i="9" a="1"/>
  <c r="C15" i="9" a="1"/>
  <c r="O11" i="9" a="1"/>
  <c r="J11" i="9" a="1"/>
  <c r="E11" i="9" a="1"/>
  <c r="K10" i="9" a="1"/>
  <c r="F10" i="9" a="1"/>
  <c r="A10" i="9" a="1"/>
  <c r="L9" i="9" a="1"/>
  <c r="G9" i="9" a="1"/>
  <c r="B9" i="9" a="1"/>
  <c r="M8" i="9" a="1"/>
  <c r="H8" i="9" a="1"/>
  <c r="C8" i="9" a="1"/>
  <c r="N7" i="9" a="1"/>
  <c r="I7" i="9" a="1"/>
  <c r="D7" i="9" a="1"/>
  <c r="N6" i="9" a="1"/>
  <c r="I6" i="9" a="1"/>
  <c r="D6" i="9" a="1"/>
  <c r="N15" i="8" a="1"/>
  <c r="I15" i="8" a="1"/>
  <c r="D15" i="8" a="1"/>
  <c r="N14" i="8" a="1"/>
  <c r="I14" i="8" a="1"/>
  <c r="D14" i="8" a="1"/>
  <c r="O13" i="8" a="1"/>
  <c r="J13" i="8" a="1"/>
  <c r="E13" i="8" a="1"/>
  <c r="K12" i="8" a="1"/>
  <c r="F12" i="8" a="1"/>
  <c r="A12" i="8" a="1"/>
  <c r="A8" i="10" a="1"/>
  <c r="N25" i="9" a="1"/>
  <c r="A15" i="9" a="1"/>
  <c r="D14" i="9" a="1"/>
  <c r="K12" i="9" a="1"/>
  <c r="M11" i="9" a="1"/>
  <c r="H10" i="9" a="1"/>
  <c r="O9" i="9" a="1"/>
  <c r="H9" i="9" a="1"/>
  <c r="O8" i="9" a="1"/>
  <c r="F8" i="9" a="1"/>
  <c r="O7" i="9" a="1"/>
  <c r="F7" i="9" a="1"/>
  <c r="L6" i="9" a="1"/>
  <c r="E6" i="9" a="1"/>
  <c r="I25" i="8" a="1"/>
  <c r="B25" i="8" a="1"/>
  <c r="I24" i="8" a="1"/>
  <c r="I23" i="8" a="1"/>
  <c r="G22" i="8" a="1"/>
  <c r="G21" i="8" a="1"/>
  <c r="N20" i="8" a="1"/>
  <c r="G20" i="8" a="1"/>
  <c r="N19" i="8" a="1"/>
  <c r="E19" i="8" a="1"/>
  <c r="M18" i="8" a="1"/>
  <c r="D18" i="8" a="1"/>
  <c r="J17" i="8" a="1"/>
  <c r="C17" i="8" a="1"/>
  <c r="I16" i="8" a="1"/>
  <c r="M11" i="8" a="1"/>
  <c r="D11" i="8" a="1"/>
  <c r="M10" i="8" a="1"/>
  <c r="D10" i="8" a="1"/>
  <c r="M9" i="8" a="1"/>
  <c r="F9" i="8" a="1"/>
  <c r="J8" i="8" a="1"/>
  <c r="C8" i="8" a="1"/>
  <c r="M7" i="8" a="1"/>
  <c r="G7" i="8" a="1"/>
  <c r="A7" i="8" a="1"/>
  <c r="J6" i="8" a="1"/>
  <c r="D6" i="8" a="1"/>
  <c r="J25" i="7" a="1"/>
  <c r="O24" i="7" a="1"/>
  <c r="D24" i="7" a="1"/>
  <c r="C23" i="7" a="1"/>
  <c r="H22" i="7" a="1"/>
  <c r="M21" i="7" a="1"/>
  <c r="B21" i="7" a="1"/>
  <c r="A20" i="7" a="1"/>
  <c r="F19" i="7" a="1"/>
  <c r="J18" i="7" a="1"/>
  <c r="K15" i="7" a="1"/>
  <c r="F15" i="7" a="1"/>
  <c r="A15" i="7" a="1"/>
  <c r="K14" i="7" a="1"/>
  <c r="F14" i="7" a="1"/>
  <c r="A14" i="7" a="1"/>
  <c r="L13" i="7" a="1"/>
  <c r="G13" i="7" a="1"/>
  <c r="B13" i="7" a="1"/>
  <c r="M12" i="7" a="1"/>
  <c r="H12" i="7" a="1"/>
  <c r="C12" i="7" a="1"/>
  <c r="O25" i="6" a="1"/>
  <c r="J25" i="6" a="1"/>
  <c r="E25" i="6" a="1"/>
  <c r="K24" i="6" a="1"/>
  <c r="F24" i="6" a="1"/>
  <c r="A24" i="6" a="1"/>
  <c r="L23" i="6" a="1"/>
  <c r="G23" i="6" a="1"/>
  <c r="B23" i="6" a="1"/>
  <c r="M22" i="6" a="1"/>
  <c r="H22" i="6" a="1"/>
  <c r="C22" i="6" a="1"/>
  <c r="N21" i="6" a="1"/>
  <c r="I21" i="6" a="1"/>
  <c r="D21" i="6" a="1"/>
  <c r="O20" i="6" a="1"/>
  <c r="J20" i="6" a="1"/>
  <c r="E20" i="6" a="1"/>
  <c r="K19" i="6" a="1"/>
  <c r="F19" i="6" a="1"/>
  <c r="A19" i="6" a="1"/>
  <c r="K18" i="6" a="1"/>
  <c r="F18" i="6" a="1"/>
  <c r="A18" i="6" a="1"/>
  <c r="K17" i="6" a="1"/>
  <c r="F17" i="6" a="1"/>
  <c r="A17" i="6" a="1"/>
  <c r="K16" i="6" a="1"/>
  <c r="F16" i="6" a="1"/>
  <c r="A16" i="6" a="1"/>
  <c r="O11" i="6" a="1"/>
  <c r="J11" i="6" a="1"/>
  <c r="E11" i="6" a="1"/>
  <c r="K10" i="6" a="1"/>
  <c r="F10" i="6" a="1"/>
  <c r="A10" i="6" a="1"/>
  <c r="L9" i="6" a="1"/>
  <c r="L7" i="10" a="1"/>
  <c r="K25" i="9" a="1"/>
  <c r="D21" i="9" a="1"/>
  <c r="E19" i="9" a="1"/>
  <c r="C17" i="9" a="1"/>
  <c r="C14" i="9" a="1"/>
  <c r="F13" i="9" a="1"/>
  <c r="J12" i="9" a="1"/>
  <c r="G15" i="8" a="1"/>
  <c r="O14" i="8" a="1"/>
  <c r="F14" i="8" a="1"/>
  <c r="M13" i="8" a="1"/>
  <c r="F13" i="8" a="1"/>
  <c r="M12" i="8" a="1"/>
  <c r="D12" i="8" a="1"/>
  <c r="I8" i="8" a="1"/>
  <c r="O6" i="8" a="1"/>
  <c r="I6" i="8" a="1"/>
  <c r="O25" i="7" a="1"/>
  <c r="D25" i="7" a="1"/>
  <c r="I24" i="7" a="1"/>
  <c r="H23" i="7" a="1"/>
  <c r="M22" i="7" a="1"/>
  <c r="B22" i="7" a="1"/>
  <c r="G21" i="7" a="1"/>
  <c r="F20" i="7" a="1"/>
  <c r="K19" i="7" a="1"/>
  <c r="O18" i="7" a="1"/>
  <c r="D18" i="7" a="1"/>
  <c r="N17" i="7" a="1"/>
  <c r="I17" i="7" a="1"/>
  <c r="D17" i="7" a="1"/>
  <c r="N16" i="7" a="1"/>
  <c r="I16" i="7" a="1"/>
  <c r="D16" i="7" a="1"/>
  <c r="M11" i="7" a="1"/>
  <c r="H11" i="7" a="1"/>
  <c r="C11" i="7" a="1"/>
  <c r="N10" i="7" a="1"/>
  <c r="I10" i="7" a="1"/>
  <c r="D10" i="7" a="1"/>
  <c r="O9" i="7" a="1"/>
  <c r="J9" i="7" a="1"/>
  <c r="E9" i="7" a="1"/>
  <c r="K8" i="7" a="1"/>
  <c r="F8" i="7" a="1"/>
  <c r="A8" i="7" a="1"/>
  <c r="L7" i="7" a="1"/>
  <c r="G7" i="7" a="1"/>
  <c r="B7" i="7" a="1"/>
  <c r="L6" i="7" a="1"/>
  <c r="G6" i="7" a="1"/>
  <c r="B6" i="7" a="1"/>
  <c r="L15" i="6" a="1"/>
  <c r="G15" i="6" a="1"/>
  <c r="B15" i="6" a="1"/>
  <c r="L14" i="6" a="1"/>
  <c r="G14" i="6" a="1"/>
  <c r="B14" i="6" a="1"/>
  <c r="M13" i="6" a="1"/>
  <c r="H13" i="6" a="1"/>
  <c r="C13" i="6" a="1"/>
  <c r="N12" i="6" a="1"/>
  <c r="I12" i="6" a="1"/>
  <c r="D12" i="6" a="1"/>
  <c r="K25" i="5" a="1"/>
  <c r="F25" i="5" a="1"/>
  <c r="A25" i="5" a="1"/>
  <c r="L24" i="5" a="1"/>
  <c r="G24" i="5" a="1"/>
  <c r="B24" i="5" a="1"/>
  <c r="M23" i="5" a="1"/>
  <c r="H23" i="5" a="1"/>
  <c r="C23" i="5" a="1"/>
  <c r="N22" i="5" a="1"/>
  <c r="I22" i="5" a="1"/>
  <c r="D22" i="5" a="1"/>
  <c r="O21" i="5" a="1"/>
  <c r="N9" i="10" a="1"/>
  <c r="I7" i="10" a="1"/>
  <c r="F25" i="9" a="1"/>
  <c r="L15" i="9" a="1"/>
  <c r="N14" i="9" a="1"/>
  <c r="E13" i="9" a="1"/>
  <c r="N10" i="9" a="1"/>
  <c r="G10" i="9" a="1"/>
  <c r="N9" i="9" a="1"/>
  <c r="E9" i="9" a="1"/>
  <c r="N8" i="9" a="1"/>
  <c r="E8" i="9" a="1"/>
  <c r="L7" i="9" a="1"/>
  <c r="E7" i="9" a="1"/>
  <c r="K6" i="9" a="1"/>
  <c r="B6" i="9" a="1"/>
  <c r="H25" i="8" a="1"/>
  <c r="O24" i="8" a="1"/>
  <c r="H24" i="8" a="1"/>
  <c r="O23" i="8" a="1"/>
  <c r="F23" i="8" a="1"/>
  <c r="O22" i="8" a="1"/>
  <c r="F22" i="8" a="1"/>
  <c r="M21" i="8" a="1"/>
  <c r="F21" i="8" a="1"/>
  <c r="M20" i="8" a="1"/>
  <c r="D20" i="8" a="1"/>
  <c r="M19" i="8" a="1"/>
  <c r="D19" i="8" a="1"/>
  <c r="J18" i="8" a="1"/>
  <c r="C18" i="8" a="1"/>
  <c r="I17" i="8" a="1"/>
  <c r="O16" i="8" a="1"/>
  <c r="H16" i="8" a="1"/>
  <c r="L11" i="8" a="1"/>
  <c r="C11" i="8" a="1"/>
  <c r="J10" i="8" a="1"/>
  <c r="C10" i="8" a="1"/>
  <c r="K9" i="8" a="1"/>
  <c r="E9" i="8" a="1"/>
  <c r="O8" i="8" a="1"/>
  <c r="H8" i="8" a="1"/>
  <c r="B8" i="8" a="1"/>
  <c r="L7" i="8" a="1"/>
  <c r="F7" i="8" a="1"/>
  <c r="N6" i="8" a="1"/>
  <c r="C6" i="8" a="1"/>
  <c r="I25" i="7" a="1"/>
  <c r="N24" i="7" a="1"/>
  <c r="M23" i="7" a="1"/>
  <c r="B23" i="7" a="1"/>
  <c r="G22" i="7" a="1"/>
  <c r="L21" i="7" a="1"/>
  <c r="K20" i="7" a="1"/>
  <c r="E19" i="7" a="1"/>
  <c r="I18" i="7" a="1"/>
  <c r="O15" i="7" a="1"/>
  <c r="J15" i="7" a="1"/>
  <c r="E15" i="7" a="1"/>
  <c r="O14" i="7" a="1"/>
  <c r="J14" i="7" a="1"/>
  <c r="E14" i="7" a="1"/>
  <c r="K13" i="7" a="1"/>
  <c r="F13" i="7" a="1"/>
  <c r="A13" i="7" a="1"/>
  <c r="L12" i="7" a="1"/>
  <c r="G12" i="7" a="1"/>
  <c r="B12" i="7" a="1"/>
  <c r="N25" i="6" a="1"/>
  <c r="I25" i="6" a="1"/>
  <c r="D25" i="6" a="1"/>
  <c r="O24" i="6" a="1"/>
  <c r="J24" i="6" a="1"/>
  <c r="E24" i="6" a="1"/>
  <c r="K23" i="6" a="1"/>
  <c r="F23" i="6" a="1"/>
  <c r="A23" i="6" a="1"/>
  <c r="L22" i="6" a="1"/>
  <c r="G22" i="6" a="1"/>
  <c r="B22" i="6" a="1"/>
  <c r="M21" i="6" a="1"/>
  <c r="H21" i="6" a="1"/>
  <c r="C21" i="6" a="1"/>
  <c r="N20" i="6" a="1"/>
  <c r="I20" i="6" a="1"/>
  <c r="I9" i="10" a="1"/>
  <c r="D7" i="10" a="1"/>
  <c r="A23" i="9" a="1"/>
  <c r="N20" i="9" a="1"/>
  <c r="M18" i="9" a="1"/>
  <c r="L16" i="9" a="1"/>
  <c r="M14" i="9" a="1"/>
  <c r="D13" i="9" a="1"/>
  <c r="G12" i="9" a="1"/>
  <c r="O15" i="8" a="1"/>
  <c r="F15" i="8" a="1"/>
  <c r="L14" i="8" a="1"/>
  <c r="E14" i="8" a="1"/>
  <c r="L13" i="8" a="1"/>
  <c r="C13" i="8" a="1"/>
  <c r="L12" i="8" a="1"/>
  <c r="C12" i="8" a="1"/>
  <c r="B10" i="8" a="1"/>
  <c r="N8" i="8" a="1"/>
  <c r="E7" i="8" a="1"/>
  <c r="H6" i="8" a="1"/>
  <c r="N25" i="7" a="1"/>
  <c r="C25" i="7" a="1"/>
  <c r="B24" i="7" a="1"/>
  <c r="G23" i="7" a="1"/>
  <c r="L22" i="7" a="1"/>
  <c r="A22" i="7" a="1"/>
  <c r="E20" i="7" a="1"/>
  <c r="F9" i="10" a="1"/>
  <c r="L22" i="9" a="1"/>
  <c r="O13" i="9" a="1"/>
  <c r="F12" i="9" a="1"/>
  <c r="H11" i="9" a="1"/>
  <c r="M10" i="9" a="1"/>
  <c r="D10" i="9" a="1"/>
  <c r="M9" i="9" a="1"/>
  <c r="D9" i="9" a="1"/>
  <c r="K8" i="9" a="1"/>
  <c r="D8" i="9" a="1"/>
  <c r="K7" i="9" a="1"/>
  <c r="B7" i="9" a="1"/>
  <c r="J6" i="9" a="1"/>
  <c r="A6" i="9" a="1"/>
  <c r="N25" i="8" a="1"/>
  <c r="G25" i="8" a="1"/>
  <c r="N24" i="8" a="1"/>
  <c r="E24" i="8" a="1"/>
  <c r="N23" i="8" a="1"/>
  <c r="E23" i="8" a="1"/>
  <c r="L22" i="8" a="1"/>
  <c r="E22" i="8" a="1"/>
  <c r="L21" i="8" a="1"/>
  <c r="C21" i="8" a="1"/>
  <c r="L20" i="8" a="1"/>
  <c r="C20" i="8" a="1"/>
  <c r="J19" i="8" a="1"/>
  <c r="C19" i="8" a="1"/>
  <c r="I18" i="8" a="1"/>
  <c r="O17" i="8" a="1"/>
  <c r="H17" i="8" a="1"/>
  <c r="N16" i="8" a="1"/>
  <c r="E16" i="8" a="1"/>
  <c r="I11" i="8" a="1"/>
  <c r="B11" i="8" a="1"/>
  <c r="I10" i="8" a="1"/>
  <c r="J9" i="8" a="1"/>
  <c r="D9" i="8" a="1"/>
  <c r="M8" i="8" a="1"/>
  <c r="G8" i="8" a="1"/>
  <c r="A8" i="8" a="1"/>
  <c r="K7" i="8" a="1"/>
  <c r="D7" i="8" a="1"/>
  <c r="A9" i="10" a="1"/>
  <c r="I22" i="9" a="1"/>
  <c r="G20" i="9" a="1"/>
  <c r="G18" i="9" a="1"/>
  <c r="G16" i="9" a="1"/>
  <c r="I15" i="9" a="1"/>
  <c r="J14" i="9" a="1"/>
  <c r="N13" i="9" a="1"/>
  <c r="A13" i="9" a="1"/>
  <c r="E12" i="9" a="1"/>
  <c r="K6" i="10" a="1"/>
  <c r="D22" i="9" a="1"/>
  <c r="F16" i="9" a="1"/>
  <c r="I14" i="9" a="1"/>
  <c r="L10" i="9" a="1"/>
  <c r="C10" i="9" a="1"/>
  <c r="J9" i="9" a="1"/>
  <c r="C9" i="9" a="1"/>
  <c r="J8" i="9" a="1"/>
  <c r="A8" i="9" a="1"/>
  <c r="J7" i="9" a="1"/>
  <c r="A7" i="9" a="1"/>
  <c r="G6" i="9" a="1"/>
  <c r="M25" i="8" a="1"/>
  <c r="D25" i="8" a="1"/>
  <c r="M24" i="8" a="1"/>
  <c r="D24" i="8" a="1"/>
  <c r="K23" i="8" a="1"/>
  <c r="D23" i="8" a="1"/>
  <c r="K22" i="8" a="1"/>
  <c r="B22" i="8" a="1"/>
  <c r="K21" i="8" a="1"/>
  <c r="B21" i="8" a="1"/>
  <c r="I20" i="8" a="1"/>
  <c r="B20" i="8" a="1"/>
  <c r="I19" i="8" a="1"/>
  <c r="O18" i="8" a="1"/>
  <c r="H18" i="8" a="1"/>
  <c r="N17" i="8" a="1"/>
  <c r="E17" i="8" a="1"/>
  <c r="M16" i="8" a="1"/>
  <c r="D16" i="8" a="1"/>
  <c r="H11" i="8" a="1"/>
  <c r="O10" i="8" a="1"/>
  <c r="H10" i="8" a="1"/>
  <c r="I9" i="8" a="1"/>
  <c r="B9" i="8" a="1"/>
  <c r="L8" i="8" a="1"/>
  <c r="F8" i="8" a="1"/>
  <c r="I7" i="8" a="1"/>
  <c r="C7" i="8" a="1"/>
  <c r="J11" i="10" a="1"/>
  <c r="F6" i="10" a="1"/>
  <c r="F24" i="9" a="1"/>
  <c r="A20" i="9" a="1"/>
  <c r="A18" i="9" a="1"/>
  <c r="E16" i="9" a="1"/>
  <c r="F15" i="9" a="1"/>
  <c r="H14" i="9" a="1"/>
  <c r="K13" i="9" a="1"/>
  <c r="O12" i="9" a="1"/>
  <c r="B12" i="9" a="1"/>
  <c r="K15" i="8" a="1"/>
  <c r="B15" i="8" a="1"/>
  <c r="J14" i="8" a="1"/>
  <c r="A14" i="8" a="1"/>
  <c r="H13" i="8" a="1"/>
  <c r="A13" i="8" a="1"/>
  <c r="H12" i="8" a="1"/>
  <c r="O9" i="8" a="1"/>
  <c r="H9" i="8" a="1"/>
  <c r="O7" i="8" a="1"/>
  <c r="F6" i="8" a="1"/>
  <c r="F25" i="7" a="1"/>
  <c r="K24" i="7" a="1"/>
  <c r="E23" i="7" a="1"/>
  <c r="D22" i="7" a="1"/>
  <c r="I21" i="7" a="1"/>
  <c r="N20" i="7" a="1"/>
  <c r="C20" i="7" a="1"/>
  <c r="C11" i="10" a="1"/>
  <c r="C6" i="10" a="1"/>
  <c r="A24" i="9" a="1"/>
  <c r="J13" i="9" a="1"/>
  <c r="A12" i="9" a="1"/>
  <c r="C11" i="9" a="1"/>
  <c r="I10" i="9" a="1"/>
  <c r="B10" i="9" a="1"/>
  <c r="I9" i="9" a="1"/>
  <c r="I8" i="9" a="1"/>
  <c r="G7" i="9" a="1"/>
  <c r="O6" i="9" a="1"/>
  <c r="F6" i="9" a="1"/>
  <c r="L25" i="8" a="1"/>
  <c r="C25" i="8" a="1"/>
  <c r="J24" i="8" a="1"/>
  <c r="C24" i="8" a="1"/>
  <c r="J23" i="8" a="1"/>
  <c r="A23" i="8" a="1"/>
  <c r="J22" i="8" a="1"/>
  <c r="A22" i="8" a="1"/>
  <c r="H21" i="8" a="1"/>
  <c r="A21" i="8" a="1"/>
  <c r="H20" i="8" a="1"/>
  <c r="O19" i="8" a="1"/>
  <c r="H19" i="8" a="1"/>
  <c r="N18" i="8" a="1"/>
  <c r="E18" i="8" a="1"/>
  <c r="M17" i="8" a="1"/>
  <c r="D17" i="8" a="1"/>
  <c r="J16" i="8" a="1"/>
  <c r="C16" i="8" a="1"/>
  <c r="N11" i="8" a="1"/>
  <c r="G11" i="8" a="1"/>
  <c r="N10" i="8" a="1"/>
  <c r="E10" i="8" a="1"/>
  <c r="G9" i="8" a="1"/>
  <c r="A9" i="8" a="1"/>
  <c r="K8" i="8" a="1"/>
  <c r="E8" i="8" a="1"/>
  <c r="K10" i="10" a="1"/>
  <c r="K19" i="9" a="1"/>
  <c r="J17" i="9" a="1"/>
  <c r="A16" i="9" a="1"/>
  <c r="E14" i="9" a="1"/>
  <c r="I13" i="9" a="1"/>
  <c r="L12" i="9" a="1"/>
  <c r="J15" i="8" a="1"/>
  <c r="A15" i="8" a="1"/>
  <c r="G14" i="8" a="1"/>
  <c r="G13" i="8" a="1"/>
  <c r="N12" i="8" a="1"/>
  <c r="G12" i="8" a="1"/>
  <c r="N9" i="8" a="1"/>
  <c r="D8" i="8" a="1"/>
  <c r="E6" i="8" a="1"/>
  <c r="E25" i="7" a="1"/>
  <c r="J24" i="7" a="1"/>
  <c r="O23" i="7" a="1"/>
  <c r="N22" i="7" a="1"/>
  <c r="C22" i="7" a="1"/>
  <c r="H21" i="7" a="1"/>
  <c r="M20" i="7" a="1"/>
  <c r="L19" i="7" a="1"/>
  <c r="A19" i="7" a="1"/>
  <c r="E18" i="7" a="1"/>
  <c r="O17" i="7" a="1"/>
  <c r="J17" i="7" a="1"/>
  <c r="E17" i="7" a="1"/>
  <c r="O16" i="7" a="1"/>
  <c r="J16" i="7" a="1"/>
  <c r="E16" i="7" a="1"/>
  <c r="N11" i="7" a="1"/>
  <c r="I11" i="7" a="1"/>
  <c r="D11" i="7" a="1"/>
  <c r="O10" i="7" a="1"/>
  <c r="J10" i="7" a="1"/>
  <c r="E10" i="7" a="1"/>
  <c r="K9" i="7" a="1"/>
  <c r="F9" i="7" a="1"/>
  <c r="A9" i="7" a="1"/>
  <c r="L8" i="7" a="1"/>
  <c r="G8" i="7" a="1"/>
  <c r="B8" i="7" a="1"/>
  <c r="M7" i="7" a="1"/>
  <c r="H7" i="7" a="1"/>
  <c r="C7" i="7" a="1"/>
  <c r="M6" i="7" a="1"/>
  <c r="H6" i="7" a="1"/>
  <c r="C6" i="7" a="1"/>
  <c r="M15" i="6" a="1"/>
  <c r="H15" i="6" a="1"/>
  <c r="C15" i="6" a="1"/>
  <c r="M14" i="6" a="1"/>
  <c r="H14" i="6" a="1"/>
  <c r="C14" i="6" a="1"/>
  <c r="N13" i="6" a="1"/>
  <c r="I13" i="6" a="1"/>
  <c r="D13" i="6" a="1"/>
  <c r="O12" i="6" a="1"/>
  <c r="J12" i="6" a="1"/>
  <c r="E12" i="6" a="1"/>
  <c r="B13" i="8" a="1"/>
  <c r="K6" i="8" a="1"/>
  <c r="F24" i="7" a="1"/>
  <c r="C18" i="7" a="1"/>
  <c r="K17" i="7" a="1"/>
  <c r="B17" i="7" a="1"/>
  <c r="H16" i="7" a="1"/>
  <c r="A16" i="7" a="1"/>
  <c r="L11" i="7" a="1"/>
  <c r="E11" i="7" a="1"/>
  <c r="L10" i="7" a="1"/>
  <c r="C10" i="7" a="1"/>
  <c r="L9" i="7" a="1"/>
  <c r="C9" i="7" a="1"/>
  <c r="J8" i="7" a="1"/>
  <c r="C8" i="7" a="1"/>
  <c r="J7" i="7" a="1"/>
  <c r="A7" i="7" a="1"/>
  <c r="I6" i="7" a="1"/>
  <c r="C20" i="6" a="1"/>
  <c r="M18" i="6" a="1"/>
  <c r="E18" i="6" a="1"/>
  <c r="G17" i="6" a="1"/>
  <c r="N16" i="6" a="1"/>
  <c r="J14" i="6" a="1"/>
  <c r="E13" i="6" a="1"/>
  <c r="M12" i="6" a="1"/>
  <c r="N11" i="6" a="1"/>
  <c r="A11" i="6" a="1"/>
  <c r="I10" i="6" a="1"/>
  <c r="H8" i="6" a="1"/>
  <c r="N6" i="6" a="1"/>
  <c r="M25" i="5" a="1"/>
  <c r="B25" i="5" a="1"/>
  <c r="A24" i="5" a="1"/>
  <c r="F23" i="5" a="1"/>
  <c r="K22" i="5" a="1"/>
  <c r="N15" i="5" a="1"/>
  <c r="I15" i="5" a="1"/>
  <c r="D15" i="5" a="1"/>
  <c r="N14" i="5" a="1"/>
  <c r="I14" i="5" a="1"/>
  <c r="D14" i="5" a="1"/>
  <c r="O13" i="5" a="1"/>
  <c r="J13" i="5" a="1"/>
  <c r="E13" i="5" a="1"/>
  <c r="K12" i="5" a="1"/>
  <c r="F12" i="5" a="1"/>
  <c r="I12" i="8" a="1"/>
  <c r="E24" i="7" a="1"/>
  <c r="F23" i="7" a="1"/>
  <c r="I22" i="7" a="1"/>
  <c r="J21" i="7" a="1"/>
  <c r="O19" i="7" a="1"/>
  <c r="G19" i="7" a="1"/>
  <c r="L18" i="7" a="1"/>
  <c r="H15" i="7" a="1"/>
  <c r="N14" i="7" a="1"/>
  <c r="G14" i="7" a="1"/>
  <c r="N13" i="7" a="1"/>
  <c r="E13" i="7" a="1"/>
  <c r="N12" i="7" a="1"/>
  <c r="E12" i="7" a="1"/>
  <c r="M25" i="6" a="1"/>
  <c r="F25" i="6" a="1"/>
  <c r="M24" i="6" a="1"/>
  <c r="D24" i="6" a="1"/>
  <c r="M23" i="6" a="1"/>
  <c r="D23" i="6" a="1"/>
  <c r="B12" i="8" a="1"/>
  <c r="N7" i="8" a="1"/>
  <c r="G6" i="8" a="1"/>
  <c r="A25" i="7" a="1"/>
  <c r="F22" i="7" a="1"/>
  <c r="J20" i="7" a="1"/>
  <c r="B18" i="7" a="1"/>
  <c r="H17" i="7" a="1"/>
  <c r="A17" i="7" a="1"/>
  <c r="G16" i="7" a="1"/>
  <c r="K11" i="7" a="1"/>
  <c r="B11" i="7" a="1"/>
  <c r="K10" i="7" a="1"/>
  <c r="B10" i="7" a="1"/>
  <c r="I9" i="7" a="1"/>
  <c r="B9" i="7" a="1"/>
  <c r="I8" i="7" a="1"/>
  <c r="I7" i="7" a="1"/>
  <c r="O6" i="7" a="1"/>
  <c r="F6" i="7" a="1"/>
  <c r="B20" i="6" a="1"/>
  <c r="J19" i="6" a="1"/>
  <c r="L18" i="6" a="1"/>
  <c r="D18" i="6" a="1"/>
  <c r="M16" i="6" a="1"/>
  <c r="E16" i="6" a="1"/>
  <c r="O15" i="6" a="1"/>
  <c r="I14" i="6" a="1"/>
  <c r="A14" i="6" a="1"/>
  <c r="L12" i="6" a="1"/>
  <c r="M11" i="6" a="1"/>
  <c r="H10" i="6" a="1"/>
  <c r="M8" i="6" a="1"/>
  <c r="D7" i="6" a="1"/>
  <c r="L25" i="5" a="1"/>
  <c r="K24" i="5" a="1"/>
  <c r="E23" i="5" a="1"/>
  <c r="J22" i="5" a="1"/>
  <c r="M15" i="5" a="1"/>
  <c r="H15" i="5" a="1"/>
  <c r="C15" i="5" a="1"/>
  <c r="M14" i="5" a="1"/>
  <c r="H14" i="5" a="1"/>
  <c r="C14" i="5" a="1"/>
  <c r="N13" i="5" a="1"/>
  <c r="I13" i="5" a="1"/>
  <c r="D13" i="5" a="1"/>
  <c r="O12" i="5" a="1"/>
  <c r="J12" i="5" a="1"/>
  <c r="E12" i="5" a="1"/>
  <c r="J7" i="8" a="1"/>
  <c r="M25" i="7" a="1"/>
  <c r="A24" i="7" a="1"/>
  <c r="N19" i="7" a="1"/>
  <c r="D19" i="7" a="1"/>
  <c r="K18" i="7" a="1"/>
  <c r="N15" i="7" a="1"/>
  <c r="G15" i="7" a="1"/>
  <c r="M14" i="7" a="1"/>
  <c r="D14" i="7" a="1"/>
  <c r="M13" i="7" a="1"/>
  <c r="D13" i="7" a="1"/>
  <c r="K12" i="7" a="1"/>
  <c r="D12" i="7" a="1"/>
  <c r="L25" i="6" a="1"/>
  <c r="C25" i="6" a="1"/>
  <c r="L24" i="6" a="1"/>
  <c r="C24" i="6" a="1"/>
  <c r="J23" i="6" a="1"/>
  <c r="C23" i="6" a="1"/>
  <c r="H7" i="8" a="1"/>
  <c r="A23" i="7" a="1"/>
  <c r="E21" i="7" a="1"/>
  <c r="I20" i="7" a="1"/>
  <c r="A18" i="7" a="1"/>
  <c r="G17" i="7" a="1"/>
  <c r="M16" i="7" a="1"/>
  <c r="F16" i="7" a="1"/>
  <c r="J11" i="7" a="1"/>
  <c r="A11" i="7" a="1"/>
  <c r="H10" i="7" a="1"/>
  <c r="A10" i="7" a="1"/>
  <c r="H9" i="7" a="1"/>
  <c r="O8" i="7" a="1"/>
  <c r="H8" i="7" a="1"/>
  <c r="O7" i="7" a="1"/>
  <c r="F7" i="7" a="1"/>
  <c r="N6" i="7" a="1"/>
  <c r="E6" i="7" a="1"/>
  <c r="A20" i="6" a="1"/>
  <c r="L15" i="8" a="1"/>
  <c r="B6" i="8" a="1"/>
  <c r="K25" i="7" a="1"/>
  <c r="L24" i="7" a="1"/>
  <c r="H20" i="7" a="1"/>
  <c r="M15" i="7" a="1"/>
  <c r="D15" i="7" a="1"/>
  <c r="L14" i="7" a="1"/>
  <c r="C14" i="7" a="1"/>
  <c r="J13" i="7" a="1"/>
  <c r="C13" i="7" a="1"/>
  <c r="J12" i="7" a="1"/>
  <c r="A12" i="7" a="1"/>
  <c r="K25" i="6" a="1"/>
  <c r="B25" i="6" a="1"/>
  <c r="I24" i="6" a="1"/>
  <c r="B24" i="6" a="1"/>
  <c r="I23" i="6" a="1"/>
  <c r="I22" i="6" a="1"/>
  <c r="G21" i="6" a="1"/>
  <c r="G20" i="6" a="1"/>
  <c r="O19" i="6" a="1"/>
  <c r="B19" i="6" a="1"/>
  <c r="I18" i="6" a="1"/>
  <c r="C17" i="6" a="1"/>
  <c r="J16" i="6" a="1"/>
  <c r="N14" i="6" a="1"/>
  <c r="F14" i="6" a="1"/>
  <c r="A13" i="6" a="1"/>
  <c r="M10" i="6" a="1"/>
  <c r="E10" i="6" a="1"/>
  <c r="H9" i="6" a="1"/>
  <c r="A9" i="6" a="1"/>
  <c r="K8" i="6" a="1"/>
  <c r="E8" i="6" a="1"/>
  <c r="O7" i="6" a="1"/>
  <c r="H7" i="6" a="1"/>
  <c r="B7" i="6" a="1"/>
  <c r="K6" i="6" a="1"/>
  <c r="E6" i="6" a="1"/>
  <c r="J25" i="5" a="1"/>
  <c r="O24" i="5" a="1"/>
  <c r="D24" i="5" a="1"/>
  <c r="I23" i="5" a="1"/>
  <c r="H22" i="5" a="1"/>
  <c r="M21" i="5" a="1"/>
  <c r="H21" i="5" a="1"/>
  <c r="C21" i="5" a="1"/>
  <c r="N20" i="5" a="1"/>
  <c r="E15" i="8" a="1"/>
  <c r="B7" i="8" a="1"/>
  <c r="H25" i="7" a="1"/>
  <c r="L23" i="7" a="1"/>
  <c r="D21" i="7" a="1"/>
  <c r="J19" i="7" a="1"/>
  <c r="B19" i="7" a="1"/>
  <c r="G18" i="7" a="1"/>
  <c r="M17" i="7" a="1"/>
  <c r="F17" i="7" a="1"/>
  <c r="L16" i="7" a="1"/>
  <c r="C16" i="7" a="1"/>
  <c r="G11" i="7" a="1"/>
  <c r="G10" i="7" a="1"/>
  <c r="N9" i="7" a="1"/>
  <c r="G9" i="7" a="1"/>
  <c r="N8" i="7" a="1"/>
  <c r="E8" i="7" a="1"/>
  <c r="N7" i="7" a="1"/>
  <c r="E7" i="7" a="1"/>
  <c r="K6" i="7" a="1"/>
  <c r="D6" i="7" a="1"/>
  <c r="H19" i="6" a="1"/>
  <c r="K14" i="8" a="1"/>
  <c r="M6" i="8" a="1"/>
  <c r="A6" i="8" a="1"/>
  <c r="C21" i="7" a="1"/>
  <c r="D20" i="7" a="1"/>
  <c r="L15" i="7" a="1"/>
  <c r="C15" i="7" a="1"/>
  <c r="I14" i="7" a="1"/>
  <c r="B14" i="7" a="1"/>
  <c r="I13" i="7" a="1"/>
  <c r="I12" i="7" a="1"/>
  <c r="H25" i="6" a="1"/>
  <c r="A25" i="6" a="1"/>
  <c r="H24" i="6" a="1"/>
  <c r="O23" i="6" a="1"/>
  <c r="H23" i="6" a="1"/>
  <c r="O22" i="6" a="1"/>
  <c r="F22" i="6" a="1"/>
  <c r="B14" i="8" a="1"/>
  <c r="C9" i="8" a="1"/>
  <c r="G24" i="7" a="1"/>
  <c r="K23" i="7" a="1"/>
  <c r="O21" i="7" a="1"/>
  <c r="I19" i="7" a="1"/>
  <c r="N18" i="7" a="1"/>
  <c r="F18" i="7" a="1"/>
  <c r="L17" i="7" a="1"/>
  <c r="C17" i="7" a="1"/>
  <c r="K16" i="7" a="1"/>
  <c r="B16" i="7" a="1"/>
  <c r="O11" i="7" a="1"/>
  <c r="F11" i="7" a="1"/>
  <c r="M10" i="7" a="1"/>
  <c r="F10" i="7" a="1"/>
  <c r="M9" i="7" a="1"/>
  <c r="D9" i="7" a="1"/>
  <c r="M8" i="7" a="1"/>
  <c r="D8" i="7" a="1"/>
  <c r="K7" i="7" a="1"/>
  <c r="D7" i="7" a="1"/>
  <c r="J6" i="7" a="1"/>
  <c r="A6" i="7" a="1"/>
  <c r="K13" i="8" a="1"/>
  <c r="L6" i="8" a="1"/>
  <c r="J23" i="7" a="1"/>
  <c r="K22" i="7" a="1"/>
  <c r="N21" i="7" a="1"/>
  <c r="O20" i="7" a="1"/>
  <c r="I15" i="7" a="1"/>
  <c r="B15" i="7" a="1"/>
  <c r="H14" i="7" a="1"/>
  <c r="O13" i="7" a="1"/>
  <c r="H13" i="7" a="1"/>
  <c r="O12" i="7" a="1"/>
  <c r="F12" i="7" a="1"/>
  <c r="G25" i="6" a="1"/>
  <c r="N24" i="6" a="1"/>
  <c r="G24" i="6" a="1"/>
  <c r="N23" i="6" a="1"/>
  <c r="E23" i="6" a="1"/>
  <c r="N22" i="6" a="1"/>
  <c r="E22" i="6" a="1"/>
  <c r="L21" i="6" a="1"/>
  <c r="E21" i="6" a="1"/>
  <c r="L20" i="6" a="1"/>
  <c r="M19" i="6" a="1"/>
  <c r="E19" i="6" a="1"/>
  <c r="G18" i="6" a="1"/>
  <c r="N17" i="6" a="1"/>
  <c r="H16" i="6" a="1"/>
  <c r="J15" i="6" a="1"/>
  <c r="D14" i="6" a="1"/>
  <c r="L13" i="6" a="1"/>
  <c r="G12" i="6" a="1"/>
  <c r="H11" i="6" a="1"/>
  <c r="C10" i="6" a="1"/>
  <c r="K9" i="6" a="1"/>
  <c r="E9" i="6" a="1"/>
  <c r="O8" i="6" a="1"/>
  <c r="I8" i="6" a="1"/>
  <c r="B8" i="6" a="1"/>
  <c r="L7" i="6" a="1"/>
  <c r="F7" i="6" a="1"/>
  <c r="O6" i="6" a="1"/>
  <c r="H6" i="6" a="1"/>
  <c r="D22" i="6" a="1"/>
  <c r="O17" i="6" a="1"/>
  <c r="G16" i="6" a="1"/>
  <c r="K15" i="6" a="1"/>
  <c r="K12" i="6" a="1"/>
  <c r="G10" i="6" a="1"/>
  <c r="J9" i="6" a="1"/>
  <c r="K7" i="6" a="1"/>
  <c r="A7" i="6" a="1"/>
  <c r="C25" i="5" a="1"/>
  <c r="C24" i="5" a="1"/>
  <c r="K23" i="5" a="1"/>
  <c r="C22" i="5" a="1"/>
  <c r="D21" i="5" a="1"/>
  <c r="M20" i="5" a="1"/>
  <c r="G20" i="5" a="1"/>
  <c r="J19" i="5" a="1"/>
  <c r="D19" i="5" a="1"/>
  <c r="M18" i="5" a="1"/>
  <c r="F18" i="5" a="1"/>
  <c r="O17" i="5" a="1"/>
  <c r="I17" i="5" a="1"/>
  <c r="C17" i="5" a="1"/>
  <c r="K16" i="5" a="1"/>
  <c r="E16" i="5" a="1"/>
  <c r="J11" i="5" a="1"/>
  <c r="O10" i="5" a="1"/>
  <c r="D10" i="5" a="1"/>
  <c r="I9" i="5" a="1"/>
  <c r="N8" i="5" a="1"/>
  <c r="H8" i="5" a="1"/>
  <c r="M7" i="5" a="1"/>
  <c r="B7" i="5" a="1"/>
  <c r="F6" i="5" a="1"/>
  <c r="L25" i="4" a="1"/>
  <c r="G25" i="4" a="1"/>
  <c r="B25" i="4" a="1"/>
  <c r="M24" i="4" a="1"/>
  <c r="H24" i="4" a="1"/>
  <c r="C24" i="4" a="1"/>
  <c r="N23" i="4" a="1"/>
  <c r="I23" i="4" a="1"/>
  <c r="D23" i="4" a="1"/>
  <c r="O22" i="4" a="1"/>
  <c r="J22" i="4" a="1"/>
  <c r="E22" i="4" a="1"/>
  <c r="K21" i="4" a="1"/>
  <c r="F21" i="4" a="1"/>
  <c r="A21" i="4" a="1"/>
  <c r="L20" i="4" a="1"/>
  <c r="G20" i="4" a="1"/>
  <c r="B20" i="4" a="1"/>
  <c r="M19" i="4" a="1"/>
  <c r="H19" i="4" a="1"/>
  <c r="C19" i="4" a="1"/>
  <c r="M18" i="4" a="1"/>
  <c r="H18" i="4" a="1"/>
  <c r="C18" i="4" a="1"/>
  <c r="M17" i="4" a="1"/>
  <c r="H17" i="4" a="1"/>
  <c r="C17" i="4" a="1"/>
  <c r="M16" i="4" a="1"/>
  <c r="H16" i="4" a="1"/>
  <c r="C16" i="4" a="1"/>
  <c r="L11" i="4" a="1"/>
  <c r="G11" i="4" a="1"/>
  <c r="B11" i="4" a="1"/>
  <c r="M10" i="4" a="1"/>
  <c r="H10" i="4" a="1"/>
  <c r="C10" i="4" a="1"/>
  <c r="N9" i="4" a="1"/>
  <c r="I9" i="4" a="1"/>
  <c r="D9" i="4" a="1"/>
  <c r="O8" i="4" a="1"/>
  <c r="J8" i="4" a="1"/>
  <c r="E8" i="4" a="1"/>
  <c r="K7" i="4" a="1"/>
  <c r="F7" i="4" a="1"/>
  <c r="A7" i="4" a="1"/>
  <c r="K6" i="4" a="1"/>
  <c r="F6" i="4" a="1"/>
  <c r="A6" i="4" a="1"/>
  <c r="K15" i="3" a="1"/>
  <c r="F15" i="3" a="1"/>
  <c r="A15" i="3" a="1"/>
  <c r="K14" i="3" a="1"/>
  <c r="F14" i="3" a="1"/>
  <c r="A14" i="3" a="1"/>
  <c r="L13" i="3" a="1"/>
  <c r="G13" i="3" a="1"/>
  <c r="B13" i="3" a="1"/>
  <c r="M12" i="3" a="1"/>
  <c r="H12" i="3" a="1"/>
  <c r="C12" i="3" a="1"/>
  <c r="A22" i="6" a="1"/>
  <c r="K20" i="6" a="1"/>
  <c r="I19" i="6" a="1"/>
  <c r="J18" i="6" a="1"/>
  <c r="F13" i="6" a="1"/>
  <c r="B11" i="6" a="1"/>
  <c r="I9" i="6" a="1"/>
  <c r="J7" i="6" a="1"/>
  <c r="D6" i="6" a="1"/>
  <c r="J24" i="5" a="1"/>
  <c r="J23" i="5" a="1"/>
  <c r="B23" i="5" a="1"/>
  <c r="B22" i="5" a="1"/>
  <c r="K21" i="5" a="1"/>
  <c r="F20" i="5" a="1"/>
  <c r="L18" i="5" a="1"/>
  <c r="B17" i="5" a="1"/>
  <c r="O15" i="5" a="1"/>
  <c r="B15" i="5" a="1"/>
  <c r="K14" i="5" a="1"/>
  <c r="E14" i="5" a="1"/>
  <c r="H13" i="5" a="1"/>
  <c r="B13" i="5" a="1"/>
  <c r="L12" i="5" a="1"/>
  <c r="O11" i="5" a="1"/>
  <c r="D11" i="5" a="1"/>
  <c r="I10" i="5" a="1"/>
  <c r="N9" i="5" a="1"/>
  <c r="C9" i="5" a="1"/>
  <c r="M8" i="5" a="1"/>
  <c r="B8" i="5" a="1"/>
  <c r="G7" i="5" a="1"/>
  <c r="K6" i="5" a="1"/>
  <c r="N15" i="4" a="1"/>
  <c r="I15" i="4" a="1"/>
  <c r="D15" i="4" a="1"/>
  <c r="N14" i="4" a="1"/>
  <c r="I14" i="4" a="1"/>
  <c r="D14" i="4" a="1"/>
  <c r="O13" i="4" a="1"/>
  <c r="J13" i="4" a="1"/>
  <c r="E13" i="4" a="1"/>
  <c r="K12" i="4" a="1"/>
  <c r="F12" i="4" a="1"/>
  <c r="A12" i="4" a="1"/>
  <c r="M25" i="3" a="1"/>
  <c r="H25" i="3" a="1"/>
  <c r="C25" i="3" a="1"/>
  <c r="N24" i="3" a="1"/>
  <c r="I24" i="3" a="1"/>
  <c r="D24" i="3" a="1"/>
  <c r="O23" i="3" a="1"/>
  <c r="J23" i="3" a="1"/>
  <c r="E23" i="3" a="1"/>
  <c r="K22" i="3" a="1"/>
  <c r="F22" i="3" a="1"/>
  <c r="A22" i="3" a="1"/>
  <c r="L21" i="3" a="1"/>
  <c r="G21" i="3" a="1"/>
  <c r="B21" i="3" a="1"/>
  <c r="M20" i="3" a="1"/>
  <c r="H20" i="3" a="1"/>
  <c r="C20" i="3" a="1"/>
  <c r="N19" i="3" a="1"/>
  <c r="I19" i="3" a="1"/>
  <c r="D19" i="3" a="1"/>
  <c r="N18" i="3" a="1"/>
  <c r="I18" i="3" a="1"/>
  <c r="D18" i="3" a="1"/>
  <c r="N17" i="3" a="1"/>
  <c r="I17" i="3" a="1"/>
  <c r="D17" i="3" a="1"/>
  <c r="N16" i="3" a="1"/>
  <c r="I16" i="3" a="1"/>
  <c r="D16" i="3" a="1"/>
  <c r="M11" i="3" a="1"/>
  <c r="H11" i="3" a="1"/>
  <c r="C11" i="3" a="1"/>
  <c r="N10" i="3" a="1"/>
  <c r="I10" i="3" a="1"/>
  <c r="D10" i="3" a="1"/>
  <c r="O9" i="3" a="1"/>
  <c r="J9" i="3" a="1"/>
  <c r="E9" i="3" a="1"/>
  <c r="K8" i="3" a="1"/>
  <c r="F8" i="3" a="1"/>
  <c r="A8" i="3" a="1"/>
  <c r="L7" i="3" a="1"/>
  <c r="G7" i="3" a="1"/>
  <c r="B7" i="3" a="1"/>
  <c r="L6" i="3" a="1"/>
  <c r="G6" i="3" a="1"/>
  <c r="B6" i="3" a="1"/>
  <c r="L15" i="2" a="1"/>
  <c r="G15" i="2" a="1"/>
  <c r="B15" i="2" a="1"/>
  <c r="L14" i="2" a="1"/>
  <c r="G14" i="2" a="1"/>
  <c r="B14" i="2" a="1"/>
  <c r="M13" i="2" a="1"/>
  <c r="H13" i="2" a="1"/>
  <c r="O21" i="6" a="1"/>
  <c r="H20" i="6" a="1"/>
  <c r="M17" i="6" a="1"/>
  <c r="B17" i="6" a="1"/>
  <c r="D16" i="6" a="1"/>
  <c r="I15" i="6" a="1"/>
  <c r="H12" i="6" a="1"/>
  <c r="L11" i="6" a="1"/>
  <c r="O10" i="6" a="1"/>
  <c r="D10" i="6" a="1"/>
  <c r="N8" i="6" a="1"/>
  <c r="D8" i="6" a="1"/>
  <c r="I7" i="6" a="1"/>
  <c r="M6" i="6" a="1"/>
  <c r="C6" i="6" a="1"/>
  <c r="I25" i="5" a="1"/>
  <c r="I24" i="5" a="1"/>
  <c r="J21" i="5" a="1"/>
  <c r="L20" i="5" a="1"/>
  <c r="E20" i="5" a="1"/>
  <c r="O19" i="5" a="1"/>
  <c r="I19" i="5" a="1"/>
  <c r="C19" i="5" a="1"/>
  <c r="K18" i="5" a="1"/>
  <c r="E18" i="5" a="1"/>
  <c r="N17" i="5" a="1"/>
  <c r="H17" i="5" a="1"/>
  <c r="A17" i="5" a="1"/>
  <c r="J16" i="5" a="1"/>
  <c r="D16" i="5" a="1"/>
  <c r="I11" i="5" a="1"/>
  <c r="N10" i="5" a="1"/>
  <c r="C10" i="5" a="1"/>
  <c r="H9" i="5" a="1"/>
  <c r="B9" i="5" a="1"/>
  <c r="G8" i="5" a="1"/>
  <c r="L7" i="5" a="1"/>
  <c r="A7" i="5" a="1"/>
  <c r="E6" i="5" a="1"/>
  <c r="K25" i="4" a="1"/>
  <c r="F25" i="4" a="1"/>
  <c r="A25" i="4" a="1"/>
  <c r="L24" i="4" a="1"/>
  <c r="G24" i="4" a="1"/>
  <c r="B24" i="4" a="1"/>
  <c r="M23" i="4" a="1"/>
  <c r="H23" i="4" a="1"/>
  <c r="C23" i="4" a="1"/>
  <c r="N22" i="4" a="1"/>
  <c r="I22" i="4" a="1"/>
  <c r="D22" i="4" a="1"/>
  <c r="O21" i="4" a="1"/>
  <c r="J21" i="4" a="1"/>
  <c r="E21" i="4" a="1"/>
  <c r="K20" i="4" a="1"/>
  <c r="F20" i="4" a="1"/>
  <c r="A20" i="4" a="1"/>
  <c r="L19" i="4" a="1"/>
  <c r="G19" i="4" a="1"/>
  <c r="B19" i="4" a="1"/>
  <c r="L18" i="4" a="1"/>
  <c r="G18" i="4" a="1"/>
  <c r="B18" i="4" a="1"/>
  <c r="L17" i="4" a="1"/>
  <c r="G17" i="4" a="1"/>
  <c r="B17" i="4" a="1"/>
  <c r="L16" i="4" a="1"/>
  <c r="G16" i="4" a="1"/>
  <c r="B16" i="4" a="1"/>
  <c r="K11" i="4" a="1"/>
  <c r="F11" i="4" a="1"/>
  <c r="A11" i="4" a="1"/>
  <c r="L10" i="4" a="1"/>
  <c r="G10" i="4" a="1"/>
  <c r="B10" i="4" a="1"/>
  <c r="M9" i="4" a="1"/>
  <c r="H9" i="4" a="1"/>
  <c r="C9" i="4" a="1"/>
  <c r="N8" i="4" a="1"/>
  <c r="I8" i="4" a="1"/>
  <c r="D8" i="4" a="1"/>
  <c r="O7" i="4" a="1"/>
  <c r="J7" i="4" a="1"/>
  <c r="E7" i="4" a="1"/>
  <c r="O6" i="4" a="1"/>
  <c r="J6" i="4" a="1"/>
  <c r="E6" i="4" a="1"/>
  <c r="O15" i="3" a="1"/>
  <c r="J15" i="3" a="1"/>
  <c r="E15" i="3" a="1"/>
  <c r="O14" i="3" a="1"/>
  <c r="J14" i="3" a="1"/>
  <c r="E14" i="3" a="1"/>
  <c r="K13" i="3" a="1"/>
  <c r="F13" i="3" a="1"/>
  <c r="A13" i="3" a="1"/>
  <c r="L12" i="3" a="1"/>
  <c r="G12" i="3" a="1"/>
  <c r="B12" i="3" a="1"/>
  <c r="K21" i="6" a="1"/>
  <c r="F20" i="6" a="1"/>
  <c r="G19" i="6" a="1"/>
  <c r="L17" i="6" a="1"/>
  <c r="O16" i="6" a="1"/>
  <c r="C16" i="6" a="1"/>
  <c r="K14" i="6" a="1"/>
  <c r="O13" i="6" a="1"/>
  <c r="B13" i="6" a="1"/>
  <c r="K11" i="6" a="1"/>
  <c r="N10" i="6" a="1"/>
  <c r="G9" i="6" a="1"/>
  <c r="L8" i="6" a="1"/>
  <c r="C8" i="6" a="1"/>
  <c r="L6" i="6" a="1"/>
  <c r="A23" i="5" a="1"/>
  <c r="A22" i="5" a="1"/>
  <c r="I21" i="5" a="1"/>
  <c r="B21" i="5" a="1"/>
  <c r="K20" i="5" a="1"/>
  <c r="B19" i="5" a="1"/>
  <c r="G17" i="5" a="1"/>
  <c r="G15" i="5" a="1"/>
  <c r="A15" i="5" a="1"/>
  <c r="J14" i="5" a="1"/>
  <c r="M13" i="5" a="1"/>
  <c r="G13" i="5" a="1"/>
  <c r="A13" i="5" a="1"/>
  <c r="D12" i="5" a="1"/>
  <c r="N11" i="5" a="1"/>
  <c r="C11" i="5" a="1"/>
  <c r="H10" i="5" a="1"/>
  <c r="M9" i="5" a="1"/>
  <c r="G9" i="5" a="1"/>
  <c r="L8" i="5" a="1"/>
  <c r="A8" i="5" a="1"/>
  <c r="F7" i="5" a="1"/>
  <c r="J6" i="5" a="1"/>
  <c r="D6" i="5" a="1"/>
  <c r="J21" i="6" a="1"/>
  <c r="D20" i="6" a="1"/>
  <c r="D19" i="6" a="1"/>
  <c r="H18" i="6" a="1"/>
  <c r="J17" i="6" a="1"/>
  <c r="F15" i="6" a="1"/>
  <c r="F12" i="6" a="1"/>
  <c r="I11" i="6" a="1"/>
  <c r="B10" i="6" a="1"/>
  <c r="F9" i="6" a="1"/>
  <c r="A8" i="6" a="1"/>
  <c r="G7" i="6" a="1"/>
  <c r="B6" i="6" a="1"/>
  <c r="O25" i="5" a="1"/>
  <c r="H25" i="5" a="1"/>
  <c r="H24" i="5" a="1"/>
  <c r="J20" i="5" a="1"/>
  <c r="D20" i="5" a="1"/>
  <c r="N19" i="5" a="1"/>
  <c r="H19" i="5" a="1"/>
  <c r="A19" i="5" a="1"/>
  <c r="J18" i="5" a="1"/>
  <c r="D18" i="5" a="1"/>
  <c r="M17" i="5" a="1"/>
  <c r="F17" i="5" a="1"/>
  <c r="O16" i="5" a="1"/>
  <c r="I16" i="5" a="1"/>
  <c r="C16" i="5" a="1"/>
  <c r="H11" i="5" a="1"/>
  <c r="M10" i="5" a="1"/>
  <c r="B10" i="5" a="1"/>
  <c r="L9" i="5" a="1"/>
  <c r="A9" i="5" a="1"/>
  <c r="F8" i="5" a="1"/>
  <c r="K7" i="5" a="1"/>
  <c r="O6" i="5" a="1"/>
  <c r="I6" i="5" a="1"/>
  <c r="O25" i="4" a="1"/>
  <c r="J25" i="4" a="1"/>
  <c r="E25" i="4" a="1"/>
  <c r="K24" i="4" a="1"/>
  <c r="F24" i="4" a="1"/>
  <c r="A24" i="4" a="1"/>
  <c r="L23" i="4" a="1"/>
  <c r="G23" i="4" a="1"/>
  <c r="F21" i="6" a="1"/>
  <c r="C19" i="6" a="1"/>
  <c r="I17" i="6" a="1"/>
  <c r="B16" i="6" a="1"/>
  <c r="E15" i="6" a="1"/>
  <c r="A6" i="6" a="1"/>
  <c r="G25" i="5" a="1"/>
  <c r="O23" i="5" a="1"/>
  <c r="G23" i="5" a="1"/>
  <c r="O22" i="5" a="1"/>
  <c r="G22" i="5" a="1"/>
  <c r="A21" i="5" a="1"/>
  <c r="G19" i="5" a="1"/>
  <c r="L17" i="5" a="1"/>
  <c r="B16" i="5" a="1"/>
  <c r="L15" i="5" a="1"/>
  <c r="F15" i="5" a="1"/>
  <c r="O14" i="5" a="1"/>
  <c r="B14" i="5" a="1"/>
  <c r="L13" i="5" a="1"/>
  <c r="F13" i="5" a="1"/>
  <c r="I12" i="5" a="1"/>
  <c r="C12" i="5" a="1"/>
  <c r="M11" i="5" a="1"/>
  <c r="B11" i="5" a="1"/>
  <c r="G10" i="5" a="1"/>
  <c r="A10" i="5" a="1"/>
  <c r="F9" i="5" a="1"/>
  <c r="K8" i="5" a="1"/>
  <c r="E7" i="5" a="1"/>
  <c r="N6" i="5" a="1"/>
  <c r="C6" i="5" a="1"/>
  <c r="L16" i="6" a="1"/>
  <c r="K13" i="6" a="1"/>
  <c r="C12" i="6" a="1"/>
  <c r="G11" i="6" a="1"/>
  <c r="L10" i="6" a="1"/>
  <c r="O9" i="6" a="1"/>
  <c r="D9" i="6" a="1"/>
  <c r="J8" i="6" a="1"/>
  <c r="E7" i="6" a="1"/>
  <c r="J6" i="6" a="1"/>
  <c r="N25" i="5" a="1"/>
  <c r="N24" i="5" a="1"/>
  <c r="F24" i="5" a="1"/>
  <c r="N23" i="5" a="1"/>
  <c r="N21" i="5" a="1"/>
  <c r="G21" i="5" a="1"/>
  <c r="I20" i="5" a="1"/>
  <c r="C20" i="5" a="1"/>
  <c r="M19" i="5" a="1"/>
  <c r="F19" i="5" a="1"/>
  <c r="O18" i="5" a="1"/>
  <c r="I18" i="5" a="1"/>
  <c r="C18" i="5" a="1"/>
  <c r="K17" i="5" a="1"/>
  <c r="E17" i="5" a="1"/>
  <c r="N16" i="5" a="1"/>
  <c r="H16" i="5" a="1"/>
  <c r="A16" i="5" a="1"/>
  <c r="G11" i="5" a="1"/>
  <c r="L10" i="5" a="1"/>
  <c r="B21" i="6" a="1"/>
  <c r="N19" i="6" a="1"/>
  <c r="O18" i="6" a="1"/>
  <c r="H17" i="6" a="1"/>
  <c r="D15" i="6" a="1"/>
  <c r="J13" i="6" a="1"/>
  <c r="B12" i="6" a="1"/>
  <c r="F11" i="6" a="1"/>
  <c r="J10" i="6" a="1"/>
  <c r="N9" i="6" a="1"/>
  <c r="C9" i="6" a="1"/>
  <c r="N7" i="6" a="1"/>
  <c r="C7" i="6" a="1"/>
  <c r="I6" i="6" a="1"/>
  <c r="E25" i="5" a="1"/>
  <c r="E24" i="5" a="1"/>
  <c r="M22" i="5" a="1"/>
  <c r="F22" i="5" a="1"/>
  <c r="O20" i="5" a="1"/>
  <c r="L19" i="5" a="1"/>
  <c r="B18" i="5" a="1"/>
  <c r="G16" i="5" a="1"/>
  <c r="K15" i="5" a="1"/>
  <c r="E15" i="5" a="1"/>
  <c r="G14" i="5" a="1"/>
  <c r="A14" i="5" a="1"/>
  <c r="K13" i="5" a="1"/>
  <c r="N12" i="5" a="1"/>
  <c r="H12" i="5" a="1"/>
  <c r="B12" i="5" a="1"/>
  <c r="L11" i="5" a="1"/>
  <c r="A11" i="5" a="1"/>
  <c r="K10" i="5" a="1"/>
  <c r="E9" i="5" a="1"/>
  <c r="J8" i="5" a="1"/>
  <c r="O7" i="5" a="1"/>
  <c r="I7" i="5" a="1"/>
  <c r="M6" i="5" a="1"/>
  <c r="B6" i="5" a="1"/>
  <c r="K22" i="6" a="1"/>
  <c r="A21" i="6" a="1"/>
  <c r="C18" i="6" a="1"/>
  <c r="E17" i="6" a="1"/>
  <c r="I16" i="6" a="1"/>
  <c r="N15" i="6" a="1"/>
  <c r="A15" i="6" a="1"/>
  <c r="J22" i="6" a="1"/>
  <c r="M20" i="6" a="1"/>
  <c r="L19" i="6" a="1"/>
  <c r="N18" i="6" a="1"/>
  <c r="B18" i="6" a="1"/>
  <c r="D17" i="6" a="1"/>
  <c r="O14" i="6" a="1"/>
  <c r="G13" i="6" a="1"/>
  <c r="A12" i="6" a="1"/>
  <c r="C11" i="6" a="1"/>
  <c r="M9" i="6" a="1"/>
  <c r="F8" i="6" a="1"/>
  <c r="F6" i="6" a="1"/>
  <c r="L23" i="5" a="1"/>
  <c r="D23" i="5" a="1"/>
  <c r="L22" i="5" a="1"/>
  <c r="L21" i="5" a="1"/>
  <c r="E21" i="5" a="1"/>
  <c r="A20" i="5" a="1"/>
  <c r="G18" i="5" a="1"/>
  <c r="L16" i="5" a="1"/>
  <c r="J15" i="5" a="1"/>
  <c r="L14" i="5" a="1"/>
  <c r="F14" i="5" a="1"/>
  <c r="C13" i="5" a="1"/>
  <c r="M12" i="5" a="1"/>
  <c r="G12" i="5" a="1"/>
  <c r="A12" i="5" a="1"/>
  <c r="K11" i="5" a="1"/>
  <c r="E11" i="5" a="1"/>
  <c r="J10" i="5" a="1"/>
  <c r="O9" i="5" a="1"/>
  <c r="D9" i="5" a="1"/>
  <c r="I8" i="5" a="1"/>
  <c r="C8" i="5" a="1"/>
  <c r="H7" i="5" a="1"/>
  <c r="L6" i="5" a="1"/>
  <c r="A6" i="5" a="1"/>
  <c r="O15" i="4" a="1"/>
  <c r="J15" i="4" a="1"/>
  <c r="E15" i="4" a="1"/>
  <c r="O14" i="4" a="1"/>
  <c r="J14" i="4" a="1"/>
  <c r="E14" i="4" a="1"/>
  <c r="K13" i="4" a="1"/>
  <c r="F13" i="4" a="1"/>
  <c r="A13" i="4" a="1"/>
  <c r="L12" i="4" a="1"/>
  <c r="G12" i="4" a="1"/>
  <c r="B12" i="4" a="1"/>
  <c r="N25" i="3" a="1"/>
  <c r="I25" i="3" a="1"/>
  <c r="D25" i="3" a="1"/>
  <c r="O24" i="3" a="1"/>
  <c r="J24" i="3" a="1"/>
  <c r="E24" i="3" a="1"/>
  <c r="K23" i="3" a="1"/>
  <c r="F23" i="3" a="1"/>
  <c r="A23" i="3" a="1"/>
  <c r="L22" i="3" a="1"/>
  <c r="G22" i="3" a="1"/>
  <c r="B22" i="3" a="1"/>
  <c r="M21" i="3" a="1"/>
  <c r="H21" i="3" a="1"/>
  <c r="C21" i="3" a="1"/>
  <c r="N20" i="3" a="1"/>
  <c r="I20" i="3" a="1"/>
  <c r="D20" i="3" a="1"/>
  <c r="O19" i="3" a="1"/>
  <c r="J19" i="3" a="1"/>
  <c r="E19" i="3" a="1"/>
  <c r="O18" i="3" a="1"/>
  <c r="J18" i="3" a="1"/>
  <c r="E18" i="3" a="1"/>
  <c r="O17" i="3" a="1"/>
  <c r="J17" i="3" a="1"/>
  <c r="E17" i="3" a="1"/>
  <c r="O16" i="3" a="1"/>
  <c r="J16" i="3" a="1"/>
  <c r="E16" i="3" a="1"/>
  <c r="N11" i="3" a="1"/>
  <c r="I11" i="3" a="1"/>
  <c r="D11" i="3" a="1"/>
  <c r="O10" i="3" a="1"/>
  <c r="J17" i="5" a="1"/>
  <c r="E10" i="5" a="1"/>
  <c r="D25" i="4" a="1"/>
  <c r="K23" i="4" a="1"/>
  <c r="H22" i="4" a="1"/>
  <c r="H21" i="4" a="1"/>
  <c r="J20" i="4" a="1"/>
  <c r="N19" i="4" a="1"/>
  <c r="A19" i="4" a="1"/>
  <c r="D18" i="4" a="1"/>
  <c r="N16" i="4" a="1"/>
  <c r="E16" i="4" a="1"/>
  <c r="I11" i="4" a="1"/>
  <c r="I10" i="4" a="1"/>
  <c r="G9" i="4" a="1"/>
  <c r="G8" i="4" a="1"/>
  <c r="N7" i="4" a="1"/>
  <c r="G7" i="4" a="1"/>
  <c r="M6" i="4" a="1"/>
  <c r="D6" i="4" a="1"/>
  <c r="I15" i="3" a="1"/>
  <c r="B15" i="3" a="1"/>
  <c r="H14" i="3" a="1"/>
  <c r="O13" i="3" a="1"/>
  <c r="H13" i="3" a="1"/>
  <c r="O12" i="3" a="1"/>
  <c r="F12" i="3" a="1"/>
  <c r="F10" i="3" a="1"/>
  <c r="N9" i="3" a="1"/>
  <c r="A9" i="3" a="1"/>
  <c r="I8" i="3" a="1"/>
  <c r="D7" i="3" a="1"/>
  <c r="K6" i="3" a="1"/>
  <c r="O25" i="2" a="1"/>
  <c r="I25" i="2" a="1"/>
  <c r="N24" i="2" a="1"/>
  <c r="C24" i="2" a="1"/>
  <c r="H23" i="2" a="1"/>
  <c r="M22" i="2" a="1"/>
  <c r="G22" i="2" a="1"/>
  <c r="L21" i="2" a="1"/>
  <c r="A21" i="2" a="1"/>
  <c r="F20" i="2" a="1"/>
  <c r="K19" i="2" a="1"/>
  <c r="E19" i="2" a="1"/>
  <c r="I18" i="2" a="1"/>
  <c r="M17" i="2" a="1"/>
  <c r="B17" i="2" a="1"/>
  <c r="F16" i="2" a="1"/>
  <c r="K15" i="2" a="1"/>
  <c r="O14" i="2" a="1"/>
  <c r="D14" i="2" a="1"/>
  <c r="I13" i="2" a="1"/>
  <c r="O11" i="2" a="1"/>
  <c r="J11" i="2" a="1"/>
  <c r="E11" i="2" a="1"/>
  <c r="K10" i="2" a="1"/>
  <c r="F10" i="2" a="1"/>
  <c r="A10" i="2" a="1"/>
  <c r="L9" i="2" a="1"/>
  <c r="G9" i="2" a="1"/>
  <c r="B9" i="2" a="1"/>
  <c r="M8" i="2" a="1"/>
  <c r="H8" i="2" a="1"/>
  <c r="C8" i="2" a="1"/>
  <c r="N7" i="2" a="1"/>
  <c r="I7" i="2" a="1"/>
  <c r="D7" i="2" a="1"/>
  <c r="N6" i="2" a="1"/>
  <c r="I6" i="2" a="1"/>
  <c r="D6" i="2" a="1"/>
  <c r="N12" i="2" a="1"/>
  <c r="F21" i="5" a="1"/>
  <c r="D17" i="5" a="1"/>
  <c r="E8" i="5" a="1"/>
  <c r="H6" i="5" a="1"/>
  <c r="C25" i="4" a="1"/>
  <c r="J23" i="4" a="1"/>
  <c r="G22" i="4" a="1"/>
  <c r="G21" i="4" a="1"/>
  <c r="I20" i="4" a="1"/>
  <c r="O18" i="4" a="1"/>
  <c r="F17" i="4" a="1"/>
  <c r="L15" i="4" a="1"/>
  <c r="C15" i="4" a="1"/>
  <c r="K14" i="4" a="1"/>
  <c r="B14" i="4" a="1"/>
  <c r="I13" i="4" a="1"/>
  <c r="B13" i="4" a="1"/>
  <c r="I12" i="4" a="1"/>
  <c r="J25" i="3" a="1"/>
  <c r="A25" i="3" a="1"/>
  <c r="H24" i="3" a="1"/>
  <c r="A24" i="3" a="1"/>
  <c r="H23" i="3" a="1"/>
  <c r="O22" i="3" a="1"/>
  <c r="H22" i="3" a="1"/>
  <c r="O21" i="3" a="1"/>
  <c r="F21" i="3" a="1"/>
  <c r="O20" i="3" a="1"/>
  <c r="F20" i="3" a="1"/>
  <c r="M19" i="3" a="1"/>
  <c r="F19" i="3" a="1"/>
  <c r="L18" i="3" a="1"/>
  <c r="C18" i="3" a="1"/>
  <c r="K17" i="3" a="1"/>
  <c r="B17" i="3" a="1"/>
  <c r="H16" i="3" a="1"/>
  <c r="A16" i="3" a="1"/>
  <c r="L11" i="3" a="1"/>
  <c r="E11" i="3" a="1"/>
  <c r="L10" i="3" a="1"/>
  <c r="G9" i="3" a="1"/>
  <c r="O8" i="3" a="1"/>
  <c r="B8" i="3" a="1"/>
  <c r="J7" i="3" a="1"/>
  <c r="D6" i="3" a="1"/>
  <c r="N25" i="2" a="1"/>
  <c r="C25" i="2" a="1"/>
  <c r="H24" i="2" a="1"/>
  <c r="M23" i="2" a="1"/>
  <c r="B23" i="2" a="1"/>
  <c r="L22" i="2" a="1"/>
  <c r="A22" i="2" a="1"/>
  <c r="F21" i="2" a="1"/>
  <c r="K20" i="2" a="1"/>
  <c r="J19" i="2" a="1"/>
  <c r="N18" i="2" a="1"/>
  <c r="C18" i="2" a="1"/>
  <c r="G17" i="2" a="1"/>
  <c r="K16" i="2" a="1"/>
  <c r="E16" i="2" a="1"/>
  <c r="E15" i="2" a="1"/>
  <c r="I14" i="2" a="1"/>
  <c r="N13" i="2" a="1"/>
  <c r="C13" i="2" a="1"/>
  <c r="I12" i="2" a="1"/>
  <c r="D12" i="2" a="1"/>
  <c r="N14" i="3" a="1"/>
  <c r="N13" i="3" a="1"/>
  <c r="D11" i="6" a="1"/>
  <c r="M16" i="5" a="1"/>
  <c r="D8" i="5" a="1"/>
  <c r="G6" i="5" a="1"/>
  <c r="O24" i="4" a="1"/>
  <c r="F23" i="4" a="1"/>
  <c r="F22" i="4" a="1"/>
  <c r="D21" i="4" a="1"/>
  <c r="H20" i="4" a="1"/>
  <c r="K19" i="4" a="1"/>
  <c r="N18" i="4" a="1"/>
  <c r="A18" i="4" a="1"/>
  <c r="E17" i="4" a="1"/>
  <c r="K16" i="4" a="1"/>
  <c r="D16" i="4" a="1"/>
  <c r="O11" i="4" a="1"/>
  <c r="H11" i="4" a="1"/>
  <c r="O10" i="4" a="1"/>
  <c r="F10" i="4" a="1"/>
  <c r="O9" i="4" a="1"/>
  <c r="F9" i="4" a="1"/>
  <c r="M8" i="4" a="1"/>
  <c r="F8" i="4" a="1"/>
  <c r="M7" i="4" a="1"/>
  <c r="D7" i="4" a="1"/>
  <c r="L6" i="4" a="1"/>
  <c r="C6" i="4" a="1"/>
  <c r="H15" i="3" a="1"/>
  <c r="G14" i="3" a="1"/>
  <c r="D25" i="5" a="1"/>
  <c r="H20" i="5" a="1"/>
  <c r="F16" i="5" a="1"/>
  <c r="K9" i="5" a="1"/>
  <c r="N24" i="4" a="1"/>
  <c r="E23" i="4" a="1"/>
  <c r="C22" i="4" a="1"/>
  <c r="C21" i="4" a="1"/>
  <c r="J19" i="4" a="1"/>
  <c r="O17" i="4" a="1"/>
  <c r="K15" i="4" a="1"/>
  <c r="B15" i="4" a="1"/>
  <c r="H14" i="4" a="1"/>
  <c r="A14" i="4" a="1"/>
  <c r="H13" i="4" a="1"/>
  <c r="O12" i="4" a="1"/>
  <c r="H12" i="4" a="1"/>
  <c r="G25" i="3" a="1"/>
  <c r="G24" i="3" a="1"/>
  <c r="N23" i="3" a="1"/>
  <c r="G23" i="3" a="1"/>
  <c r="M24" i="5" a="1"/>
  <c r="B20" i="5" a="1"/>
  <c r="J9" i="5" a="1"/>
  <c r="N7" i="5" a="1"/>
  <c r="J24" i="4" a="1"/>
  <c r="B23" i="4" a="1"/>
  <c r="B22" i="4" a="1"/>
  <c r="B21" i="4" a="1"/>
  <c r="E20" i="4" a="1"/>
  <c r="I19" i="4" a="1"/>
  <c r="K18" i="4" a="1"/>
  <c r="N17" i="4" a="1"/>
  <c r="D17" i="4" a="1"/>
  <c r="J16" i="4" a="1"/>
  <c r="A16" i="4" a="1"/>
  <c r="N11" i="4" a="1"/>
  <c r="E11" i="4" a="1"/>
  <c r="N10" i="4" a="1"/>
  <c r="E10" i="4" a="1"/>
  <c r="L9" i="4" a="1"/>
  <c r="E9" i="4" a="1"/>
  <c r="L8" i="4" a="1"/>
  <c r="C8" i="4" a="1"/>
  <c r="B9" i="6" a="1"/>
  <c r="K19" i="5" a="1"/>
  <c r="J7" i="5" a="1"/>
  <c r="I24" i="4" a="1"/>
  <c r="A23" i="4" a="1"/>
  <c r="A22" i="4" a="1"/>
  <c r="D20" i="4" a="1"/>
  <c r="J18" i="4" a="1"/>
  <c r="H15" i="4" a="1"/>
  <c r="A15" i="4" a="1"/>
  <c r="G14" i="4" a="1"/>
  <c r="N13" i="4" a="1"/>
  <c r="G13" i="4" a="1"/>
  <c r="N12" i="4" a="1"/>
  <c r="E12" i="4" a="1"/>
  <c r="O25" i="3" a="1"/>
  <c r="F25" i="3" a="1"/>
  <c r="M24" i="3" a="1"/>
  <c r="F24" i="3" a="1"/>
  <c r="M23" i="3" a="1"/>
  <c r="D23" i="3" a="1"/>
  <c r="M22" i="3" a="1"/>
  <c r="G8" i="6" a="1"/>
  <c r="E19" i="5" a="1"/>
  <c r="F11" i="5" a="1"/>
  <c r="N25" i="4" a="1"/>
  <c r="E24" i="4" a="1"/>
  <c r="N21" i="4" a="1"/>
  <c r="O20" i="4" a="1"/>
  <c r="C20" i="4" a="1"/>
  <c r="F19" i="4" a="1"/>
  <c r="I18" i="4" a="1"/>
  <c r="K17" i="4" a="1"/>
  <c r="A17" i="4" a="1"/>
  <c r="I16" i="4" a="1"/>
  <c r="M11" i="4" a="1"/>
  <c r="D11" i="4" a="1"/>
  <c r="K10" i="4" a="1"/>
  <c r="D10" i="4" a="1"/>
  <c r="K9" i="4" a="1"/>
  <c r="B9" i="4" a="1"/>
  <c r="K8" i="4" a="1"/>
  <c r="B8" i="4" a="1"/>
  <c r="I7" i="4" a="1"/>
  <c r="B7" i="4" a="1"/>
  <c r="H6" i="4" a="1"/>
  <c r="M15" i="3" a="1"/>
  <c r="D15" i="3" a="1"/>
  <c r="L14" i="3" a="1"/>
  <c r="C14" i="3" a="1"/>
  <c r="J13" i="3" a="1"/>
  <c r="C13" i="3" a="1"/>
  <c r="J12" i="3" a="1"/>
  <c r="A12" i="3" a="1"/>
  <c r="H10" i="3" a="1"/>
  <c r="K9" i="3" a="1"/>
  <c r="C9" i="3" a="1"/>
  <c r="N7" i="3" a="1"/>
  <c r="F7" i="3" a="1"/>
  <c r="H6" i="3" a="1"/>
  <c r="F25" i="2" a="1"/>
  <c r="K24" i="2" a="1"/>
  <c r="E24" i="2" a="1"/>
  <c r="J23" i="2" a="1"/>
  <c r="O22" i="2" a="1"/>
  <c r="D22" i="2" a="1"/>
  <c r="I21" i="2" a="1"/>
  <c r="C21" i="2" a="1"/>
  <c r="H20" i="2" a="1"/>
  <c r="M19" i="2" a="1"/>
  <c r="B19" i="2" a="1"/>
  <c r="M7" i="6" a="1"/>
  <c r="N18" i="5" a="1"/>
  <c r="D7" i="5" a="1"/>
  <c r="M25" i="4" a="1"/>
  <c r="D24" i="4" a="1"/>
  <c r="M22" i="4" a="1"/>
  <c r="M21" i="4" a="1"/>
  <c r="N20" i="4" a="1"/>
  <c r="E19" i="4" a="1"/>
  <c r="J17" i="4" a="1"/>
  <c r="G15" i="4" a="1"/>
  <c r="M14" i="4" a="1"/>
  <c r="F14" i="4" a="1"/>
  <c r="M13" i="4" a="1"/>
  <c r="D13" i="4" a="1"/>
  <c r="M12" i="4" a="1"/>
  <c r="D12" i="4" a="1"/>
  <c r="L25" i="3" a="1"/>
  <c r="E25" i="3" a="1"/>
  <c r="L24" i="3" a="1"/>
  <c r="C24" i="3" a="1"/>
  <c r="L23" i="3" a="1"/>
  <c r="C23" i="3" a="1"/>
  <c r="J22" i="3" a="1"/>
  <c r="C22" i="3" a="1"/>
  <c r="J21" i="3" a="1"/>
  <c r="A21" i="3" a="1"/>
  <c r="J20" i="3" a="1"/>
  <c r="A20" i="3" a="1"/>
  <c r="H19" i="3" a="1"/>
  <c r="A19" i="3" a="1"/>
  <c r="G18" i="3" a="1"/>
  <c r="M17" i="3" a="1"/>
  <c r="F17" i="3" a="1"/>
  <c r="L16" i="3" a="1"/>
  <c r="C16" i="3" a="1"/>
  <c r="G11" i="3" a="1"/>
  <c r="A10" i="3" a="1"/>
  <c r="I9" i="3" a="1"/>
  <c r="L8" i="3" a="1"/>
  <c r="D8" i="3" a="1"/>
  <c r="N6" i="3" a="1"/>
  <c r="F6" i="3" a="1"/>
  <c r="K25" i="2" a="1"/>
  <c r="J24" i="2" a="1"/>
  <c r="O23" i="2" a="1"/>
  <c r="D23" i="2" a="1"/>
  <c r="I22" i="2" a="1"/>
  <c r="N21" i="2" a="1"/>
  <c r="H21" i="2" a="1"/>
  <c r="M20" i="2" a="1"/>
  <c r="B20" i="2" a="1"/>
  <c r="G19" i="2" a="1"/>
  <c r="K18" i="2" a="1"/>
  <c r="E18" i="2" a="1"/>
  <c r="I17" i="2" a="1"/>
  <c r="M16" i="2" a="1"/>
  <c r="B16" i="2" a="1"/>
  <c r="M15" i="2" a="1"/>
  <c r="K14" i="2" a="1"/>
  <c r="E13" i="2" a="1"/>
  <c r="K12" i="2" a="1"/>
  <c r="F12" i="2" a="1"/>
  <c r="A12" i="2" a="1"/>
  <c r="E14" i="6" a="1"/>
  <c r="H18" i="5" a="1"/>
  <c r="O8" i="5" a="1"/>
  <c r="C7" i="5" a="1"/>
  <c r="I25" i="4" a="1"/>
  <c r="L22" i="4" a="1"/>
  <c r="L21" i="4" a="1"/>
  <c r="M20" i="4" a="1"/>
  <c r="D19" i="4" a="1"/>
  <c r="F18" i="4" a="1"/>
  <c r="O16" i="4" a="1"/>
  <c r="F16" i="4" a="1"/>
  <c r="G6" i="6" a="1"/>
  <c r="E22" i="5" a="1"/>
  <c r="A18" i="5" a="1"/>
  <c r="F10" i="5" a="1"/>
  <c r="H25" i="4" a="1"/>
  <c r="O23" i="4" a="1"/>
  <c r="K22" i="4" a="1"/>
  <c r="I21" i="4" a="1"/>
  <c r="O19" i="4" a="1"/>
  <c r="E18" i="4" a="1"/>
  <c r="I17" i="4" a="1"/>
  <c r="M15" i="4" a="1"/>
  <c r="F15" i="4" a="1"/>
  <c r="L14" i="4" a="1"/>
  <c r="C14" i="4" a="1"/>
  <c r="L13" i="4" a="1"/>
  <c r="C13" i="4" a="1"/>
  <c r="J12" i="4" a="1"/>
  <c r="C12" i="4" a="1"/>
  <c r="K25" i="3" a="1"/>
  <c r="B25" i="3" a="1"/>
  <c r="A9" i="4" a="1"/>
  <c r="E22" i="3" a="1"/>
  <c r="E21" i="3" a="1"/>
  <c r="E20" i="3" a="1"/>
  <c r="C19" i="3" a="1"/>
  <c r="B18" i="3" a="1"/>
  <c r="A17" i="3" a="1"/>
  <c r="B11" i="3" a="1"/>
  <c r="N8" i="3" a="1"/>
  <c r="C8" i="3" a="1"/>
  <c r="H7" i="3" a="1"/>
  <c r="L25" i="2" a="1"/>
  <c r="B25" i="2" a="1"/>
  <c r="I24" i="2" a="1"/>
  <c r="F23" i="2" a="1"/>
  <c r="F19" i="2" a="1"/>
  <c r="L18" i="2" a="1"/>
  <c r="J17" i="2" a="1"/>
  <c r="I16" i="2" a="1"/>
  <c r="A14" i="2" a="1"/>
  <c r="C12" i="2" a="1"/>
  <c r="L11" i="2" a="1"/>
  <c r="D11" i="2" a="1"/>
  <c r="O9" i="2" a="1"/>
  <c r="H9" i="2" a="1"/>
  <c r="J8" i="2" a="1"/>
  <c r="B8" i="2" a="1"/>
  <c r="L6" i="2" a="1"/>
  <c r="E6" i="2" a="1"/>
  <c r="J12" i="2" a="1"/>
  <c r="M10" i="2" a="1"/>
  <c r="K7" i="2" a="1"/>
  <c r="C7" i="2" a="1"/>
  <c r="B12" i="2" a="1"/>
  <c r="N9" i="2" a="1"/>
  <c r="A8" i="2" a="1"/>
  <c r="K6" i="2" a="1"/>
  <c r="C19" i="2" a="1"/>
  <c r="G16" i="2" a="1"/>
  <c r="H15" i="2" a="1"/>
  <c r="O13" i="2" a="1"/>
  <c r="I11" i="2" a="1"/>
  <c r="M9" i="2" a="1"/>
  <c r="G8" i="2" a="1"/>
  <c r="J6" i="2" a="1"/>
  <c r="J10" i="2" a="1"/>
  <c r="B6" i="2" a="1"/>
  <c r="F18" i="2" a="1"/>
  <c r="L16" i="2" a="1"/>
  <c r="C14" i="2" a="1"/>
  <c r="J9" i="2" a="1"/>
  <c r="H8" i="4" a="1"/>
  <c r="N15" i="3" a="1"/>
  <c r="M14" i="3" a="1"/>
  <c r="M13" i="3" a="1"/>
  <c r="N12" i="3" a="1"/>
  <c r="E10" i="3" a="1"/>
  <c r="E7" i="3" a="1"/>
  <c r="I6" i="3" a="1"/>
  <c r="C22" i="2" a="1"/>
  <c r="J21" i="2" a="1"/>
  <c r="G20" i="2" a="1"/>
  <c r="N19" i="2" a="1"/>
  <c r="D19" i="2" a="1"/>
  <c r="J18" i="2" a="1"/>
  <c r="B18" i="2" a="1"/>
  <c r="A17" i="2" a="1"/>
  <c r="A16" i="2" a="1"/>
  <c r="I15" i="2" a="1"/>
  <c r="A15" i="2" a="1"/>
  <c r="H14" i="2" a="1"/>
  <c r="A13" i="2" a="1"/>
  <c r="K11" i="2" a="1"/>
  <c r="E10" i="2" a="1"/>
  <c r="I8" i="2" a="1"/>
  <c r="A11" i="2" a="1"/>
  <c r="D15" i="2" a="1"/>
  <c r="A8" i="4" a="1"/>
  <c r="I23" i="3" a="1"/>
  <c r="D22" i="3" a="1"/>
  <c r="D21" i="3" a="1"/>
  <c r="B20" i="3" a="1"/>
  <c r="B19" i="3" a="1"/>
  <c r="A18" i="3" a="1"/>
  <c r="M16" i="3" a="1"/>
  <c r="O11" i="3" a="1"/>
  <c r="A11" i="3" a="1"/>
  <c r="C10" i="3" a="1"/>
  <c r="H9" i="3" a="1"/>
  <c r="M8" i="3" a="1"/>
  <c r="J25" i="2" a="1"/>
  <c r="A25" i="2" a="1"/>
  <c r="G24" i="2" a="1"/>
  <c r="N23" i="2" a="1"/>
  <c r="E23" i="2" a="1"/>
  <c r="K22" i="2" a="1"/>
  <c r="B22" i="2" a="1"/>
  <c r="O16" i="2" a="1"/>
  <c r="H16" i="2" a="1"/>
  <c r="G13" i="2" a="1"/>
  <c r="C11" i="2" a="1"/>
  <c r="L10" i="2" a="1"/>
  <c r="F9" i="2" a="1"/>
  <c r="J7" i="2" a="1"/>
  <c r="C6" i="2" a="1"/>
  <c r="H18" i="2" a="1"/>
  <c r="H17" i="2" a="1"/>
  <c r="O15" i="2" a="1"/>
  <c r="H12" i="2" a="1"/>
  <c r="D10" i="2" a="1"/>
  <c r="O8" i="2" a="1"/>
  <c r="B7" i="2" a="1"/>
  <c r="E9" i="2" a="1"/>
  <c r="H7" i="2" a="1"/>
  <c r="O10" i="2" a="1"/>
  <c r="M7" i="2" a="1"/>
  <c r="L7" i="4" a="1"/>
  <c r="L15" i="3" a="1"/>
  <c r="I14" i="3" a="1"/>
  <c r="I13" i="3" a="1"/>
  <c r="K12" i="3" a="1"/>
  <c r="J8" i="3" a="1"/>
  <c r="O7" i="3" a="1"/>
  <c r="C7" i="3" a="1"/>
  <c r="H25" i="2" a="1"/>
  <c r="O24" i="2" a="1"/>
  <c r="O20" i="2" a="1"/>
  <c r="E20" i="2" a="1"/>
  <c r="L19" i="2" a="1"/>
  <c r="A18" i="2" a="1"/>
  <c r="N14" i="2" a="1"/>
  <c r="O7" i="2" a="1"/>
  <c r="H7" i="4" a="1"/>
  <c r="M18" i="3" a="1"/>
  <c r="L17" i="3" a="1"/>
  <c r="K16" i="3" a="1"/>
  <c r="K11" i="3" a="1"/>
  <c r="M10" i="3" a="1"/>
  <c r="B10" i="3" a="1"/>
  <c r="F9" i="3" a="1"/>
  <c r="A7" i="3" a="1"/>
  <c r="E6" i="3" a="1"/>
  <c r="F24" i="2" a="1"/>
  <c r="L23" i="2" a="1"/>
  <c r="C23" i="2" a="1"/>
  <c r="J22" i="2" a="1"/>
  <c r="G21" i="2" a="1"/>
  <c r="N20" i="2" a="1"/>
  <c r="D20" i="2" a="1"/>
  <c r="O17" i="2" a="1"/>
  <c r="N16" i="2" a="1"/>
  <c r="F14" i="2" a="1"/>
  <c r="F13" i="2" a="1"/>
  <c r="O12" i="2" a="1"/>
  <c r="B11" i="2" a="1"/>
  <c r="N8" i="2" a="1"/>
  <c r="G12" i="2" a="1"/>
  <c r="C10" i="2" a="1"/>
  <c r="F8" i="2" a="1"/>
  <c r="A7" i="2" a="1"/>
  <c r="H6" i="2" a="1"/>
  <c r="J11" i="4" a="1"/>
  <c r="C7" i="4" a="1"/>
  <c r="B23" i="3" a="1"/>
  <c r="N21" i="3" a="1"/>
  <c r="L20" i="3" a="1"/>
  <c r="L19" i="3" a="1"/>
  <c r="K18" i="3" a="1"/>
  <c r="H17" i="3" a="1"/>
  <c r="G16" i="3" a="1"/>
  <c r="E13" i="3" a="1"/>
  <c r="I12" i="3" a="1"/>
  <c r="D9" i="3" a="1"/>
  <c r="H8" i="3" a="1"/>
  <c r="M7" i="3" a="1"/>
  <c r="G25" i="2" a="1"/>
  <c r="M24" i="2" a="1"/>
  <c r="D24" i="2" a="1"/>
  <c r="K23" i="2" a="1"/>
  <c r="A23" i="2" a="1"/>
  <c r="A19" i="2" a="1"/>
  <c r="G18" i="2" a="1"/>
  <c r="N17" i="2" a="1"/>
  <c r="F17" i="2" a="1"/>
  <c r="N15" i="2" a="1"/>
  <c r="F15" i="2" a="1"/>
  <c r="M14" i="2" a="1"/>
  <c r="E14" i="2" a="1"/>
  <c r="H11" i="2" a="1"/>
  <c r="K9" i="2" a="1"/>
  <c r="C11" i="4" a="1"/>
  <c r="N6" i="4" a="1"/>
  <c r="K24" i="3" a="1"/>
  <c r="N22" i="3" a="1"/>
  <c r="G15" i="3" a="1"/>
  <c r="D14" i="3" a="1"/>
  <c r="J11" i="3" a="1"/>
  <c r="K10" i="3" a="1"/>
  <c r="K7" i="3" a="1"/>
  <c r="O6" i="3" a="1"/>
  <c r="C6" i="3" a="1"/>
  <c r="H22" i="2" a="1"/>
  <c r="O21" i="2" a="1"/>
  <c r="E21" i="2" a="1"/>
  <c r="L20" i="2" a="1"/>
  <c r="C20" i="2" a="1"/>
  <c r="I19" i="2" a="1"/>
  <c r="O18" i="2" a="1"/>
  <c r="E17" i="2" a="1"/>
  <c r="D16" i="2" a="1"/>
  <c r="L13" i="2" a="1"/>
  <c r="M12" i="2" a="1"/>
  <c r="N11" i="2" a="1"/>
  <c r="I10" i="2" a="1"/>
  <c r="B10" i="2" a="1"/>
  <c r="D9" i="2" a="1"/>
  <c r="L8" i="2" a="1"/>
  <c r="G7" i="2" a="1"/>
  <c r="O6" i="2" a="1"/>
  <c r="A6" i="2" a="1"/>
  <c r="M21" i="2" a="1"/>
  <c r="J10" i="4" a="1"/>
  <c r="I6" i="4" a="1"/>
  <c r="K21" i="3" a="1"/>
  <c r="K20" i="3" a="1"/>
  <c r="K19" i="3" a="1"/>
  <c r="H18" i="3" a="1"/>
  <c r="G17" i="3" a="1"/>
  <c r="F16" i="3" a="1"/>
  <c r="D13" i="3" a="1"/>
  <c r="E12" i="3" a="1"/>
  <c r="M9" i="3" a="1"/>
  <c r="B9" i="3" a="1"/>
  <c r="G8" i="3" a="1"/>
  <c r="A6" i="3" a="1"/>
  <c r="E25" i="2" a="1"/>
  <c r="L24" i="2" a="1"/>
  <c r="B24" i="2" a="1"/>
  <c r="I23" i="2" a="1"/>
  <c r="F22" i="2" a="1"/>
  <c r="A10" i="4" a="1"/>
  <c r="G6" i="4" a="1"/>
  <c r="C15" i="3" a="1"/>
  <c r="B14" i="3" a="1"/>
  <c r="F11" i="3" a="1"/>
  <c r="J10" i="3" a="1"/>
  <c r="E8" i="3" a="1"/>
  <c r="I7" i="3" a="1"/>
  <c r="M6" i="3" a="1"/>
  <c r="M25" i="2" a="1"/>
  <c r="D25" i="2" a="1"/>
  <c r="D21" i="2" a="1"/>
  <c r="J20" i="2" a="1"/>
  <c r="A20" i="2" a="1"/>
  <c r="H19" i="2" a="1"/>
  <c r="M18" i="2" a="1"/>
  <c r="D17" i="2" a="1"/>
  <c r="J16" i="2" a="1"/>
  <c r="C16" i="2" a="1"/>
  <c r="K13" i="2" a="1"/>
  <c r="L12" i="2" a="1"/>
  <c r="E12" i="2" a="1"/>
  <c r="M11" i="2" a="1"/>
  <c r="F11" i="2" a="1"/>
  <c r="H10" i="2" a="1"/>
  <c r="K8" i="2" a="1"/>
  <c r="D8" i="2" a="1"/>
  <c r="F7" i="2" a="1"/>
  <c r="M6" i="2" a="1"/>
  <c r="A9" i="2" a="1"/>
  <c r="E7" i="2" a="1"/>
  <c r="L17" i="2" a="1"/>
  <c r="G11" i="2" a="1"/>
  <c r="E8" i="2" a="1"/>
  <c r="J9" i="4" a="1"/>
  <c r="B6" i="4" a="1"/>
  <c r="B24" i="3" a="1"/>
  <c r="I22" i="3" a="1"/>
  <c r="I21" i="3" a="1"/>
  <c r="G20" i="3" a="1"/>
  <c r="G19" i="3" a="1"/>
  <c r="F18" i="3" a="1"/>
  <c r="C17" i="3" a="1"/>
  <c r="B16" i="3" a="1"/>
  <c r="D12" i="3" a="1"/>
  <c r="G10" i="3" a="1"/>
  <c r="L9" i="3" a="1"/>
  <c r="J6" i="3" a="1"/>
  <c r="A24" i="2" a="1"/>
  <c r="G23" i="2" a="1"/>
  <c r="N22" i="2" a="1"/>
  <c r="E22" i="2" a="1"/>
  <c r="K21" i="2" a="1"/>
  <c r="B21" i="2" a="1"/>
  <c r="I20" i="2" a="1"/>
  <c r="O19" i="2" a="1"/>
  <c r="D18" i="2" a="1"/>
  <c r="K17" i="2" a="1"/>
  <c r="C17" i="2" a="1"/>
  <c r="J15" i="2" a="1"/>
  <c r="C15" i="2" a="1"/>
  <c r="J14" i="2" a="1"/>
  <c r="J13" i="2" a="1"/>
  <c r="B13" i="2" a="1"/>
  <c r="N10" i="2" a="1"/>
  <c r="G10" i="2" a="1"/>
  <c r="I9" i="2" a="1"/>
  <c r="L7" i="2" a="1"/>
  <c r="F6" i="2" a="1"/>
  <c r="D13" i="2" a="1"/>
  <c r="C9" i="2" a="1"/>
  <c r="G6" i="2" a="1"/>
  <c r="H38" i="14" l="1"/>
  <c r="J38" i="12"/>
  <c r="G6" i="2"/>
  <c r="C9" i="2"/>
  <c r="D13" i="2"/>
  <c r="F6" i="2"/>
  <c r="L7" i="2"/>
  <c r="I9" i="2"/>
  <c r="G10" i="2"/>
  <c r="N10" i="2"/>
  <c r="B13" i="2"/>
  <c r="J13" i="2"/>
  <c r="J14" i="2"/>
  <c r="C15" i="2"/>
  <c r="J15" i="2"/>
  <c r="C17" i="2"/>
  <c r="K17" i="2"/>
  <c r="D18" i="2"/>
  <c r="O19" i="2"/>
  <c r="I20" i="2"/>
  <c r="B21" i="2"/>
  <c r="K21" i="2"/>
  <c r="E22" i="2"/>
  <c r="N22" i="2"/>
  <c r="G23" i="2"/>
  <c r="A24" i="2"/>
  <c r="J6" i="3"/>
  <c r="L9" i="3"/>
  <c r="G10" i="3"/>
  <c r="D12" i="3"/>
  <c r="B16" i="3"/>
  <c r="C17" i="3"/>
  <c r="F18" i="3"/>
  <c r="G19" i="3"/>
  <c r="G20" i="3"/>
  <c r="I21" i="3"/>
  <c r="I22" i="3"/>
  <c r="B24" i="3"/>
  <c r="B6" i="4"/>
  <c r="J9" i="4"/>
  <c r="E8" i="2"/>
  <c r="G11" i="2"/>
  <c r="L17" i="2"/>
  <c r="E7" i="2"/>
  <c r="A9" i="2"/>
  <c r="M6" i="2"/>
  <c r="F7" i="2"/>
  <c r="D8" i="2"/>
  <c r="K8" i="2"/>
  <c r="H10" i="2"/>
  <c r="F11" i="2"/>
  <c r="M11" i="2"/>
  <c r="E12" i="2"/>
  <c r="L12" i="2"/>
  <c r="K13" i="2"/>
  <c r="C16" i="2"/>
  <c r="J16" i="2"/>
  <c r="D17" i="2"/>
  <c r="M18" i="2"/>
  <c r="H19" i="2"/>
  <c r="A20" i="2"/>
  <c r="J20" i="2"/>
  <c r="D21" i="2"/>
  <c r="D25" i="2"/>
  <c r="M25" i="2"/>
  <c r="M6" i="3"/>
  <c r="I7" i="3"/>
  <c r="E8" i="3"/>
  <c r="J10" i="3"/>
  <c r="F11" i="3"/>
  <c r="B14" i="3"/>
  <c r="C15" i="3"/>
  <c r="G6" i="4"/>
  <c r="A10" i="4"/>
  <c r="F22" i="2"/>
  <c r="I23" i="2"/>
  <c r="B24" i="2"/>
  <c r="L24" i="2"/>
  <c r="E25" i="2"/>
  <c r="A6" i="3"/>
  <c r="G8" i="3"/>
  <c r="B9" i="3"/>
  <c r="M9" i="3"/>
  <c r="E12" i="3"/>
  <c r="D13" i="3"/>
  <c r="F16" i="3"/>
  <c r="G17" i="3"/>
  <c r="H18" i="3"/>
  <c r="K19" i="3"/>
  <c r="K20" i="3"/>
  <c r="K21" i="3"/>
  <c r="I6" i="4"/>
  <c r="J10" i="4"/>
  <c r="M21" i="2"/>
  <c r="A6" i="2"/>
  <c r="O6" i="2"/>
  <c r="G7" i="2"/>
  <c r="L8" i="2"/>
  <c r="D9" i="2"/>
  <c r="B10" i="2"/>
  <c r="I10" i="2"/>
  <c r="N11" i="2"/>
  <c r="M12" i="2"/>
  <c r="L13" i="2"/>
  <c r="D16" i="2"/>
  <c r="E17" i="2"/>
  <c r="O18" i="2"/>
  <c r="I19" i="2"/>
  <c r="C20" i="2"/>
  <c r="L20" i="2"/>
  <c r="E21" i="2"/>
  <c r="O21" i="2"/>
  <c r="H22" i="2"/>
  <c r="C6" i="3"/>
  <c r="O6" i="3"/>
  <c r="K7" i="3"/>
  <c r="K10" i="3"/>
  <c r="J11" i="3"/>
  <c r="D14" i="3"/>
  <c r="G15" i="3"/>
  <c r="N22" i="3"/>
  <c r="K24" i="3"/>
  <c r="N6" i="4"/>
  <c r="C11" i="4"/>
  <c r="K9" i="2"/>
  <c r="H11" i="2"/>
  <c r="E14" i="2"/>
  <c r="M14" i="2"/>
  <c r="F15" i="2"/>
  <c r="N15" i="2"/>
  <c r="F17" i="2"/>
  <c r="N17" i="2"/>
  <c r="G18" i="2"/>
  <c r="A19" i="2"/>
  <c r="A23" i="2"/>
  <c r="K23" i="2"/>
  <c r="D24" i="2"/>
  <c r="M24" i="2"/>
  <c r="G25" i="2"/>
  <c r="M7" i="3"/>
  <c r="H8" i="3"/>
  <c r="D9" i="3"/>
  <c r="I12" i="3"/>
  <c r="E13" i="3"/>
  <c r="G16" i="3"/>
  <c r="H17" i="3"/>
  <c r="K18" i="3"/>
  <c r="L19" i="3"/>
  <c r="L20" i="3"/>
  <c r="N21" i="3"/>
  <c r="B23" i="3"/>
  <c r="C7" i="4"/>
  <c r="J11" i="4"/>
  <c r="H6" i="2"/>
  <c r="A7" i="2"/>
  <c r="F8" i="2"/>
  <c r="C10" i="2"/>
  <c r="G12" i="2"/>
  <c r="N8" i="2"/>
  <c r="B11" i="2"/>
  <c r="O12" i="2"/>
  <c r="F13" i="2"/>
  <c r="F14" i="2"/>
  <c r="N16" i="2"/>
  <c r="O17" i="2"/>
  <c r="D20" i="2"/>
  <c r="N20" i="2"/>
  <c r="G21" i="2"/>
  <c r="J22" i="2"/>
  <c r="C23" i="2"/>
  <c r="L23" i="2"/>
  <c r="F24" i="2"/>
  <c r="E6" i="3"/>
  <c r="A7" i="3"/>
  <c r="F9" i="3"/>
  <c r="B10" i="3"/>
  <c r="M10" i="3"/>
  <c r="K11" i="3"/>
  <c r="K16" i="3"/>
  <c r="L17" i="3"/>
  <c r="M18" i="3"/>
  <c r="H7" i="4"/>
  <c r="O7" i="2"/>
  <c r="N14" i="2"/>
  <c r="A18" i="2"/>
  <c r="L19" i="2"/>
  <c r="E20" i="2"/>
  <c r="O20" i="2"/>
  <c r="O24" i="2"/>
  <c r="H25" i="2"/>
  <c r="C7" i="3"/>
  <c r="O7" i="3"/>
  <c r="J8" i="3"/>
  <c r="K12" i="3"/>
  <c r="I13" i="3"/>
  <c r="I14" i="3"/>
  <c r="L15" i="3"/>
  <c r="L7" i="4"/>
  <c r="M7" i="2"/>
  <c r="O10" i="2"/>
  <c r="H7" i="2"/>
  <c r="E9" i="2"/>
  <c r="B7" i="2"/>
  <c r="O8" i="2"/>
  <c r="D10" i="2"/>
  <c r="H12" i="2"/>
  <c r="O15" i="2"/>
  <c r="H17" i="2"/>
  <c r="H18" i="2"/>
  <c r="C6" i="2"/>
  <c r="J7" i="2"/>
  <c r="F9" i="2"/>
  <c r="L10" i="2"/>
  <c r="C11" i="2"/>
  <c r="G13" i="2"/>
  <c r="H16" i="2"/>
  <c r="O16" i="2"/>
  <c r="B22" i="2"/>
  <c r="K22" i="2"/>
  <c r="E23" i="2"/>
  <c r="N23" i="2"/>
  <c r="G24" i="2"/>
  <c r="A25" i="2"/>
  <c r="T15" i="2" s="1"/>
  <c r="J25" i="2"/>
  <c r="M8" i="3"/>
  <c r="H9" i="3"/>
  <c r="C10" i="3"/>
  <c r="A11" i="3"/>
  <c r="O11" i="3"/>
  <c r="M16" i="3"/>
  <c r="A18" i="3"/>
  <c r="B19" i="3"/>
  <c r="B20" i="3"/>
  <c r="D21" i="3"/>
  <c r="D22" i="3"/>
  <c r="I23" i="3"/>
  <c r="A8" i="4"/>
  <c r="D15" i="2"/>
  <c r="A11" i="2"/>
  <c r="I8" i="2"/>
  <c r="E10" i="2"/>
  <c r="K11" i="2"/>
  <c r="A13" i="2"/>
  <c r="H14" i="2"/>
  <c r="A15" i="2"/>
  <c r="I15" i="2"/>
  <c r="A16" i="2"/>
  <c r="A17" i="2"/>
  <c r="B18" i="2"/>
  <c r="J18" i="2"/>
  <c r="D19" i="2"/>
  <c r="N19" i="2"/>
  <c r="G20" i="2"/>
  <c r="J21" i="2"/>
  <c r="C22" i="2"/>
  <c r="I6" i="3"/>
  <c r="E7" i="3"/>
  <c r="E10" i="3"/>
  <c r="N12" i="3"/>
  <c r="M13" i="3"/>
  <c r="M14" i="3"/>
  <c r="N15" i="3"/>
  <c r="H8" i="4"/>
  <c r="J9" i="2"/>
  <c r="C14" i="2"/>
  <c r="L16" i="2"/>
  <c r="F18" i="2"/>
  <c r="B6" i="2"/>
  <c r="J10" i="2"/>
  <c r="J6" i="2"/>
  <c r="G8" i="2"/>
  <c r="M9" i="2"/>
  <c r="I11" i="2"/>
  <c r="O13" i="2"/>
  <c r="H15" i="2"/>
  <c r="G16" i="2"/>
  <c r="C19" i="2"/>
  <c r="K6" i="2"/>
  <c r="A8" i="2"/>
  <c r="N9" i="2"/>
  <c r="B12" i="2"/>
  <c r="C7" i="2"/>
  <c r="K7" i="2"/>
  <c r="M10" i="2"/>
  <c r="J12" i="2"/>
  <c r="E6" i="2"/>
  <c r="L6" i="2"/>
  <c r="B8" i="2"/>
  <c r="J8" i="2"/>
  <c r="H9" i="2"/>
  <c r="O9" i="2"/>
  <c r="D11" i="2"/>
  <c r="L11" i="2"/>
  <c r="C12" i="2"/>
  <c r="A14" i="2"/>
  <c r="I16" i="2"/>
  <c r="J17" i="2"/>
  <c r="L18" i="2"/>
  <c r="F19" i="2"/>
  <c r="F23" i="2"/>
  <c r="I24" i="2"/>
  <c r="B25" i="2"/>
  <c r="L25" i="2"/>
  <c r="H7" i="3"/>
  <c r="C8" i="3"/>
  <c r="N8" i="3"/>
  <c r="B11" i="3"/>
  <c r="A17" i="3"/>
  <c r="B18" i="3"/>
  <c r="C19" i="3"/>
  <c r="E20" i="3"/>
  <c r="E21" i="3"/>
  <c r="E22" i="3"/>
  <c r="A9" i="4"/>
  <c r="B25" i="3"/>
  <c r="K25" i="3"/>
  <c r="C12" i="4"/>
  <c r="J12" i="4"/>
  <c r="C13" i="4"/>
  <c r="L13" i="4"/>
  <c r="C14" i="4"/>
  <c r="L14" i="4"/>
  <c r="F15" i="4"/>
  <c r="M15" i="4"/>
  <c r="I17" i="4"/>
  <c r="E18" i="4"/>
  <c r="O19" i="4"/>
  <c r="I21" i="4"/>
  <c r="K22" i="4"/>
  <c r="O23" i="4"/>
  <c r="H25" i="4"/>
  <c r="F10" i="5"/>
  <c r="A18" i="5"/>
  <c r="E22" i="5"/>
  <c r="G6" i="6"/>
  <c r="F16" i="4"/>
  <c r="O16" i="4"/>
  <c r="F18" i="4"/>
  <c r="D19" i="4"/>
  <c r="M20" i="4"/>
  <c r="L21" i="4"/>
  <c r="L22" i="4"/>
  <c r="I25" i="4"/>
  <c r="C7" i="5"/>
  <c r="O8" i="5"/>
  <c r="H18" i="5"/>
  <c r="E14" i="6"/>
  <c r="A12" i="2"/>
  <c r="F12" i="2"/>
  <c r="K12" i="2"/>
  <c r="E13" i="2"/>
  <c r="K14" i="2"/>
  <c r="M15" i="2"/>
  <c r="B16" i="2"/>
  <c r="M16" i="2"/>
  <c r="I17" i="2"/>
  <c r="E18" i="2"/>
  <c r="K18" i="2"/>
  <c r="G19" i="2"/>
  <c r="B20" i="2"/>
  <c r="M20" i="2"/>
  <c r="H21" i="2"/>
  <c r="N21" i="2"/>
  <c r="I22" i="2"/>
  <c r="D23" i="2"/>
  <c r="O23" i="2"/>
  <c r="J24" i="2"/>
  <c r="K25" i="2"/>
  <c r="F6" i="3"/>
  <c r="N6" i="3"/>
  <c r="D8" i="3"/>
  <c r="L8" i="3"/>
  <c r="I9" i="3"/>
  <c r="A10" i="3"/>
  <c r="G11" i="3"/>
  <c r="C16" i="3"/>
  <c r="L16" i="3"/>
  <c r="F17" i="3"/>
  <c r="M17" i="3"/>
  <c r="G18" i="3"/>
  <c r="A19" i="3"/>
  <c r="H19" i="3"/>
  <c r="A20" i="3"/>
  <c r="J20" i="3"/>
  <c r="A21" i="3"/>
  <c r="J21" i="3"/>
  <c r="C22" i="3"/>
  <c r="J22" i="3"/>
  <c r="C23" i="3"/>
  <c r="L23" i="3"/>
  <c r="C24" i="3"/>
  <c r="L24" i="3"/>
  <c r="E25" i="3"/>
  <c r="L25" i="3"/>
  <c r="D12" i="4"/>
  <c r="M12" i="4"/>
  <c r="D13" i="4"/>
  <c r="M13" i="4"/>
  <c r="F14" i="4"/>
  <c r="M14" i="4"/>
  <c r="G15" i="4"/>
  <c r="J17" i="4"/>
  <c r="E19" i="4"/>
  <c r="N20" i="4"/>
  <c r="M21" i="4"/>
  <c r="M22" i="4"/>
  <c r="D24" i="4"/>
  <c r="M25" i="4"/>
  <c r="D7" i="5"/>
  <c r="N18" i="5"/>
  <c r="M7" i="6"/>
  <c r="B19" i="2"/>
  <c r="M19" i="2"/>
  <c r="H20" i="2"/>
  <c r="C21" i="2"/>
  <c r="I21" i="2"/>
  <c r="D22" i="2"/>
  <c r="O22" i="2"/>
  <c r="J23" i="2"/>
  <c r="E24" i="2"/>
  <c r="K24" i="2"/>
  <c r="F25" i="2"/>
  <c r="H6" i="3"/>
  <c r="F7" i="3"/>
  <c r="N7" i="3"/>
  <c r="C9" i="3"/>
  <c r="K9" i="3"/>
  <c r="H10" i="3"/>
  <c r="A12" i="3"/>
  <c r="J12" i="3"/>
  <c r="C13" i="3"/>
  <c r="J13" i="3"/>
  <c r="C14" i="3"/>
  <c r="L14" i="3"/>
  <c r="D15" i="3"/>
  <c r="M15" i="3"/>
  <c r="H6" i="4"/>
  <c r="B7" i="4"/>
  <c r="I7" i="4"/>
  <c r="B8" i="4"/>
  <c r="K8" i="4"/>
  <c r="B9" i="4"/>
  <c r="K9" i="4"/>
  <c r="D10" i="4"/>
  <c r="K10" i="4"/>
  <c r="D11" i="4"/>
  <c r="M11" i="4"/>
  <c r="I16" i="4"/>
  <c r="A17" i="4"/>
  <c r="K17" i="4"/>
  <c r="I18" i="4"/>
  <c r="F19" i="4"/>
  <c r="C20" i="4"/>
  <c r="O20" i="4"/>
  <c r="N21" i="4"/>
  <c r="E24" i="4"/>
  <c r="N25" i="4"/>
  <c r="F11" i="5"/>
  <c r="E19" i="5"/>
  <c r="G8" i="6"/>
  <c r="M22" i="3"/>
  <c r="D23" i="3"/>
  <c r="M23" i="3"/>
  <c r="F24" i="3"/>
  <c r="M24" i="3"/>
  <c r="F25" i="3"/>
  <c r="O25" i="3"/>
  <c r="E12" i="4"/>
  <c r="N12" i="4"/>
  <c r="G13" i="4"/>
  <c r="N13" i="4"/>
  <c r="G14" i="4"/>
  <c r="A15" i="4"/>
  <c r="H15" i="4"/>
  <c r="J18" i="4"/>
  <c r="D20" i="4"/>
  <c r="A22" i="4"/>
  <c r="A23" i="4"/>
  <c r="I24" i="4"/>
  <c r="J7" i="5"/>
  <c r="K19" i="5"/>
  <c r="B9" i="6"/>
  <c r="C8" i="4"/>
  <c r="L8" i="4"/>
  <c r="E9" i="4"/>
  <c r="L9" i="4"/>
  <c r="E10" i="4"/>
  <c r="N10" i="4"/>
  <c r="E11" i="4"/>
  <c r="N11" i="4"/>
  <c r="A16" i="4"/>
  <c r="J16" i="4"/>
  <c r="D17" i="4"/>
  <c r="N17" i="4"/>
  <c r="K18" i="4"/>
  <c r="I19" i="4"/>
  <c r="E20" i="4"/>
  <c r="B21" i="4"/>
  <c r="B22" i="4"/>
  <c r="B23" i="4"/>
  <c r="J24" i="4"/>
  <c r="N7" i="5"/>
  <c r="J9" i="5"/>
  <c r="B20" i="5"/>
  <c r="M24" i="5"/>
  <c r="G23" i="3"/>
  <c r="N23" i="3"/>
  <c r="G24" i="3"/>
  <c r="G25" i="3"/>
  <c r="H12" i="4"/>
  <c r="O12" i="4"/>
  <c r="H13" i="4"/>
  <c r="A14" i="4"/>
  <c r="H14" i="4"/>
  <c r="B15" i="4"/>
  <c r="K15" i="4"/>
  <c r="O17" i="4"/>
  <c r="J19" i="4"/>
  <c r="C21" i="4"/>
  <c r="C22" i="4"/>
  <c r="E23" i="4"/>
  <c r="N24" i="4"/>
  <c r="K9" i="5"/>
  <c r="F16" i="5"/>
  <c r="H20" i="5"/>
  <c r="D25" i="5"/>
  <c r="G14" i="3"/>
  <c r="H15" i="3"/>
  <c r="C6" i="4"/>
  <c r="L6" i="4"/>
  <c r="D7" i="4"/>
  <c r="M7" i="4"/>
  <c r="F8" i="4"/>
  <c r="M8" i="4"/>
  <c r="F9" i="4"/>
  <c r="O9" i="4"/>
  <c r="F10" i="4"/>
  <c r="O10" i="4"/>
  <c r="H11" i="4"/>
  <c r="O11" i="4"/>
  <c r="D16" i="4"/>
  <c r="K16" i="4"/>
  <c r="E17" i="4"/>
  <c r="A18" i="4"/>
  <c r="N18" i="4"/>
  <c r="K19" i="4"/>
  <c r="H20" i="4"/>
  <c r="D21" i="4"/>
  <c r="F22" i="4"/>
  <c r="F23" i="4"/>
  <c r="O24" i="4"/>
  <c r="G6" i="5"/>
  <c r="D8" i="5"/>
  <c r="M16" i="5"/>
  <c r="D11" i="6"/>
  <c r="N13" i="3"/>
  <c r="N14" i="3"/>
  <c r="D12" i="2"/>
  <c r="I12" i="2"/>
  <c r="C13" i="2"/>
  <c r="N13" i="2"/>
  <c r="I14" i="2"/>
  <c r="E15" i="2"/>
  <c r="E16" i="2"/>
  <c r="K16" i="2"/>
  <c r="G17" i="2"/>
  <c r="C18" i="2"/>
  <c r="N18" i="2"/>
  <c r="J19" i="2"/>
  <c r="K20" i="2"/>
  <c r="F21" i="2"/>
  <c r="A22" i="2"/>
  <c r="L22" i="2"/>
  <c r="B23" i="2"/>
  <c r="M23" i="2"/>
  <c r="H24" i="2"/>
  <c r="C25" i="2"/>
  <c r="N25" i="2"/>
  <c r="D6" i="3"/>
  <c r="J7" i="3"/>
  <c r="B8" i="3"/>
  <c r="O8" i="3"/>
  <c r="G9" i="3"/>
  <c r="L10" i="3"/>
  <c r="E11" i="3"/>
  <c r="L11" i="3"/>
  <c r="A16" i="3"/>
  <c r="H16" i="3"/>
  <c r="B17" i="3"/>
  <c r="K17" i="3"/>
  <c r="C18" i="3"/>
  <c r="L18" i="3"/>
  <c r="F19" i="3"/>
  <c r="M19" i="3"/>
  <c r="F20" i="3"/>
  <c r="O20" i="3"/>
  <c r="F21" i="3"/>
  <c r="O21" i="3"/>
  <c r="H22" i="3"/>
  <c r="O22" i="3"/>
  <c r="H23" i="3"/>
  <c r="A24" i="3"/>
  <c r="H24" i="3"/>
  <c r="A25" i="3"/>
  <c r="T15" i="3" s="1"/>
  <c r="J25" i="3"/>
  <c r="I12" i="4"/>
  <c r="B13" i="4"/>
  <c r="I13" i="4"/>
  <c r="B14" i="4"/>
  <c r="K14" i="4"/>
  <c r="C15" i="4"/>
  <c r="L15" i="4"/>
  <c r="F17" i="4"/>
  <c r="O18" i="4"/>
  <c r="I20" i="4"/>
  <c r="G21" i="4"/>
  <c r="G22" i="4"/>
  <c r="J23" i="4"/>
  <c r="C25" i="4"/>
  <c r="H6" i="5"/>
  <c r="E8" i="5"/>
  <c r="D17" i="5"/>
  <c r="F21" i="5"/>
  <c r="N12" i="2"/>
  <c r="D6" i="2"/>
  <c r="I6" i="2"/>
  <c r="N6" i="2"/>
  <c r="D7" i="2"/>
  <c r="I7" i="2"/>
  <c r="N7" i="2"/>
  <c r="C8" i="2"/>
  <c r="H8" i="2"/>
  <c r="M8" i="2"/>
  <c r="B9" i="2"/>
  <c r="G9" i="2"/>
  <c r="L9" i="2"/>
  <c r="A10" i="2"/>
  <c r="F10" i="2"/>
  <c r="K10" i="2"/>
  <c r="E11" i="2"/>
  <c r="J11" i="2"/>
  <c r="O11" i="2"/>
  <c r="I13" i="2"/>
  <c r="D14" i="2"/>
  <c r="O14" i="2"/>
  <c r="K15" i="2"/>
  <c r="F16" i="2"/>
  <c r="B17" i="2"/>
  <c r="M17" i="2"/>
  <c r="I18" i="2"/>
  <c r="E19" i="2"/>
  <c r="K19" i="2"/>
  <c r="F20" i="2"/>
  <c r="A21" i="2"/>
  <c r="L21" i="2"/>
  <c r="G22" i="2"/>
  <c r="M22" i="2"/>
  <c r="H23" i="2"/>
  <c r="C24" i="2"/>
  <c r="N24" i="2"/>
  <c r="I25" i="2"/>
  <c r="O25" i="2"/>
  <c r="K6" i="3"/>
  <c r="D7" i="3"/>
  <c r="I8" i="3"/>
  <c r="A9" i="3"/>
  <c r="N9" i="3"/>
  <c r="F10" i="3"/>
  <c r="F12" i="3"/>
  <c r="O12" i="3"/>
  <c r="H13" i="3"/>
  <c r="O13" i="3"/>
  <c r="H14" i="3"/>
  <c r="B15" i="3"/>
  <c r="I15" i="3"/>
  <c r="D6" i="4"/>
  <c r="M6" i="4"/>
  <c r="G7" i="4"/>
  <c r="N7" i="4"/>
  <c r="G8" i="4"/>
  <c r="G9" i="4"/>
  <c r="I10" i="4"/>
  <c r="I11" i="4"/>
  <c r="E16" i="4"/>
  <c r="N16" i="4"/>
  <c r="D18" i="4"/>
  <c r="A19" i="4"/>
  <c r="N19" i="4"/>
  <c r="J20" i="4"/>
  <c r="H21" i="4"/>
  <c r="H22" i="4"/>
  <c r="K23" i="4"/>
  <c r="D25" i="4"/>
  <c r="E10" i="5"/>
  <c r="J17" i="5"/>
  <c r="O10" i="3"/>
  <c r="D11" i="3"/>
  <c r="I11" i="3"/>
  <c r="N11" i="3"/>
  <c r="E16" i="3"/>
  <c r="J16" i="3"/>
  <c r="O16" i="3"/>
  <c r="E17" i="3"/>
  <c r="J17" i="3"/>
  <c r="O17" i="3"/>
  <c r="E18" i="3"/>
  <c r="J18" i="3"/>
  <c r="O18" i="3"/>
  <c r="E19" i="3"/>
  <c r="J19" i="3"/>
  <c r="O19" i="3"/>
  <c r="D20" i="3"/>
  <c r="I20" i="3"/>
  <c r="N20" i="3"/>
  <c r="C21" i="3"/>
  <c r="H21" i="3"/>
  <c r="M21" i="3"/>
  <c r="B22" i="3"/>
  <c r="G22" i="3"/>
  <c r="L22" i="3"/>
  <c r="A23" i="3"/>
  <c r="F23" i="3"/>
  <c r="K23" i="3"/>
  <c r="E24" i="3"/>
  <c r="J24" i="3"/>
  <c r="O24" i="3"/>
  <c r="D25" i="3"/>
  <c r="I25" i="3"/>
  <c r="N25" i="3"/>
  <c r="B12" i="4"/>
  <c r="G12" i="4"/>
  <c r="L12" i="4"/>
  <c r="A13" i="4"/>
  <c r="F13" i="4"/>
  <c r="K13" i="4"/>
  <c r="E14" i="4"/>
  <c r="J14" i="4"/>
  <c r="O14" i="4"/>
  <c r="E15" i="4"/>
  <c r="J15" i="4"/>
  <c r="O15" i="4"/>
  <c r="A6" i="5"/>
  <c r="L6" i="5"/>
  <c r="H7" i="5"/>
  <c r="C8" i="5"/>
  <c r="I8" i="5"/>
  <c r="D9" i="5"/>
  <c r="O9" i="5"/>
  <c r="J10" i="5"/>
  <c r="E11" i="5"/>
  <c r="K11" i="5"/>
  <c r="A12" i="5"/>
  <c r="G12" i="5"/>
  <c r="M12" i="5"/>
  <c r="C13" i="5"/>
  <c r="F14" i="5"/>
  <c r="L14" i="5"/>
  <c r="J15" i="5"/>
  <c r="L16" i="5"/>
  <c r="G18" i="5"/>
  <c r="A20" i="5"/>
  <c r="E21" i="5"/>
  <c r="L21" i="5"/>
  <c r="L22" i="5"/>
  <c r="D23" i="5"/>
  <c r="L23" i="5"/>
  <c r="F6" i="6"/>
  <c r="F8" i="6"/>
  <c r="M9" i="6"/>
  <c r="C11" i="6"/>
  <c r="A12" i="6"/>
  <c r="G13" i="6"/>
  <c r="O14" i="6"/>
  <c r="D17" i="6"/>
  <c r="B18" i="6"/>
  <c r="N18" i="6"/>
  <c r="L19" i="6"/>
  <c r="M20" i="6"/>
  <c r="J22" i="6"/>
  <c r="A15" i="6"/>
  <c r="N15" i="6"/>
  <c r="I16" i="6"/>
  <c r="E17" i="6"/>
  <c r="C18" i="6"/>
  <c r="A21" i="6"/>
  <c r="K22" i="6"/>
  <c r="B6" i="5"/>
  <c r="M6" i="5"/>
  <c r="I7" i="5"/>
  <c r="O7" i="5"/>
  <c r="J8" i="5"/>
  <c r="E9" i="5"/>
  <c r="K10" i="5"/>
  <c r="A11" i="5"/>
  <c r="L11" i="5"/>
  <c r="B12" i="5"/>
  <c r="H12" i="5"/>
  <c r="N12" i="5"/>
  <c r="K13" i="5"/>
  <c r="A14" i="5"/>
  <c r="G14" i="5"/>
  <c r="E15" i="5"/>
  <c r="K15" i="5"/>
  <c r="G16" i="5"/>
  <c r="B18" i="5"/>
  <c r="L19" i="5"/>
  <c r="O20" i="5"/>
  <c r="F22" i="5"/>
  <c r="M22" i="5"/>
  <c r="E24" i="5"/>
  <c r="E25" i="5"/>
  <c r="I6" i="6"/>
  <c r="C7" i="6"/>
  <c r="N7" i="6"/>
  <c r="C9" i="6"/>
  <c r="N9" i="6"/>
  <c r="J10" i="6"/>
  <c r="F11" i="6"/>
  <c r="B12" i="6"/>
  <c r="J13" i="6"/>
  <c r="D15" i="6"/>
  <c r="H17" i="6"/>
  <c r="O18" i="6"/>
  <c r="N19" i="6"/>
  <c r="B21" i="6"/>
  <c r="L10" i="5"/>
  <c r="G11" i="5"/>
  <c r="A16" i="5"/>
  <c r="H16" i="5"/>
  <c r="N16" i="5"/>
  <c r="E17" i="5"/>
  <c r="K17" i="5"/>
  <c r="C18" i="5"/>
  <c r="I18" i="5"/>
  <c r="O18" i="5"/>
  <c r="F19" i="5"/>
  <c r="M19" i="5"/>
  <c r="C20" i="5"/>
  <c r="I20" i="5"/>
  <c r="G21" i="5"/>
  <c r="N21" i="5"/>
  <c r="N23" i="5"/>
  <c r="F24" i="5"/>
  <c r="N24" i="5"/>
  <c r="N25" i="5"/>
  <c r="J6" i="6"/>
  <c r="E7" i="6"/>
  <c r="J8" i="6"/>
  <c r="D9" i="6"/>
  <c r="O9" i="6"/>
  <c r="L10" i="6"/>
  <c r="G11" i="6"/>
  <c r="C12" i="6"/>
  <c r="K13" i="6"/>
  <c r="L16" i="6"/>
  <c r="C6" i="5"/>
  <c r="N6" i="5"/>
  <c r="E7" i="5"/>
  <c r="K8" i="5"/>
  <c r="F9" i="5"/>
  <c r="A10" i="5"/>
  <c r="G10" i="5"/>
  <c r="B11" i="5"/>
  <c r="M11" i="5"/>
  <c r="C12" i="5"/>
  <c r="I12" i="5"/>
  <c r="F13" i="5"/>
  <c r="L13" i="5"/>
  <c r="B14" i="5"/>
  <c r="O14" i="5"/>
  <c r="F15" i="5"/>
  <c r="L15" i="5"/>
  <c r="B16" i="5"/>
  <c r="L17" i="5"/>
  <c r="G19" i="5"/>
  <c r="A21" i="5"/>
  <c r="G22" i="5"/>
  <c r="O22" i="5"/>
  <c r="G23" i="5"/>
  <c r="O23" i="5"/>
  <c r="G25" i="5"/>
  <c r="A6" i="6"/>
  <c r="E15" i="6"/>
  <c r="B16" i="6"/>
  <c r="I17" i="6"/>
  <c r="C19" i="6"/>
  <c r="F21" i="6"/>
  <c r="G23" i="4"/>
  <c r="L23" i="4"/>
  <c r="A24" i="4"/>
  <c r="F24" i="4"/>
  <c r="K24" i="4"/>
  <c r="E25" i="4"/>
  <c r="J25" i="4"/>
  <c r="O25" i="4"/>
  <c r="I6" i="5"/>
  <c r="O6" i="5"/>
  <c r="K7" i="5"/>
  <c r="F8" i="5"/>
  <c r="A9" i="5"/>
  <c r="L9" i="5"/>
  <c r="B10" i="5"/>
  <c r="M10" i="5"/>
  <c r="H11" i="5"/>
  <c r="C16" i="5"/>
  <c r="I16" i="5"/>
  <c r="O16" i="5"/>
  <c r="F17" i="5"/>
  <c r="M17" i="5"/>
  <c r="D18" i="5"/>
  <c r="J18" i="5"/>
  <c r="A19" i="5"/>
  <c r="H19" i="5"/>
  <c r="N19" i="5"/>
  <c r="D20" i="5"/>
  <c r="J20" i="5"/>
  <c r="H24" i="5"/>
  <c r="H25" i="5"/>
  <c r="O25" i="5"/>
  <c r="B6" i="6"/>
  <c r="G7" i="6"/>
  <c r="A8" i="6"/>
  <c r="F9" i="6"/>
  <c r="B10" i="6"/>
  <c r="I11" i="6"/>
  <c r="F12" i="6"/>
  <c r="F15" i="6"/>
  <c r="J17" i="6"/>
  <c r="H18" i="6"/>
  <c r="D19" i="6"/>
  <c r="D20" i="6"/>
  <c r="J21" i="6"/>
  <c r="D6" i="5"/>
  <c r="J6" i="5"/>
  <c r="F7" i="5"/>
  <c r="A8" i="5"/>
  <c r="L8" i="5"/>
  <c r="G9" i="5"/>
  <c r="M9" i="5"/>
  <c r="H10" i="5"/>
  <c r="C11" i="5"/>
  <c r="N11" i="5"/>
  <c r="D12" i="5"/>
  <c r="A13" i="5"/>
  <c r="G13" i="5"/>
  <c r="M13" i="5"/>
  <c r="J14" i="5"/>
  <c r="A15" i="5"/>
  <c r="G15" i="5"/>
  <c r="G17" i="5"/>
  <c r="B19" i="5"/>
  <c r="K20" i="5"/>
  <c r="B21" i="5"/>
  <c r="I21" i="5"/>
  <c r="A22" i="5"/>
  <c r="A23" i="5"/>
  <c r="L6" i="6"/>
  <c r="C8" i="6"/>
  <c r="L8" i="6"/>
  <c r="G9" i="6"/>
  <c r="N10" i="6"/>
  <c r="K11" i="6"/>
  <c r="B13" i="6"/>
  <c r="O13" i="6"/>
  <c r="K14" i="6"/>
  <c r="C16" i="6"/>
  <c r="O16" i="6"/>
  <c r="L17" i="6"/>
  <c r="G19" i="6"/>
  <c r="F20" i="6"/>
  <c r="K21" i="6"/>
  <c r="B12" i="3"/>
  <c r="G12" i="3"/>
  <c r="L12" i="3"/>
  <c r="A13" i="3"/>
  <c r="F13" i="3"/>
  <c r="K13" i="3"/>
  <c r="E14" i="3"/>
  <c r="J14" i="3"/>
  <c r="O14" i="3"/>
  <c r="E15" i="3"/>
  <c r="J15" i="3"/>
  <c r="O15" i="3"/>
  <c r="E6" i="4"/>
  <c r="J6" i="4"/>
  <c r="O6" i="4"/>
  <c r="E7" i="4"/>
  <c r="J7" i="4"/>
  <c r="O7" i="4"/>
  <c r="D8" i="4"/>
  <c r="I8" i="4"/>
  <c r="N8" i="4"/>
  <c r="C9" i="4"/>
  <c r="H9" i="4"/>
  <c r="M9" i="4"/>
  <c r="B10" i="4"/>
  <c r="G10" i="4"/>
  <c r="L10" i="4"/>
  <c r="A11" i="4"/>
  <c r="F11" i="4"/>
  <c r="K11" i="4"/>
  <c r="B16" i="4"/>
  <c r="G16" i="4"/>
  <c r="L16" i="4"/>
  <c r="B17" i="4"/>
  <c r="G17" i="4"/>
  <c r="L17" i="4"/>
  <c r="B18" i="4"/>
  <c r="G18" i="4"/>
  <c r="L18" i="4"/>
  <c r="B19" i="4"/>
  <c r="G19" i="4"/>
  <c r="L19" i="4"/>
  <c r="A20" i="4"/>
  <c r="F20" i="4"/>
  <c r="K20" i="4"/>
  <c r="E21" i="4"/>
  <c r="J21" i="4"/>
  <c r="O21" i="4"/>
  <c r="D22" i="4"/>
  <c r="I22" i="4"/>
  <c r="N22" i="4"/>
  <c r="C23" i="4"/>
  <c r="H23" i="4"/>
  <c r="M23" i="4"/>
  <c r="B24" i="4"/>
  <c r="G24" i="4"/>
  <c r="L24" i="4"/>
  <c r="A25" i="4"/>
  <c r="T15" i="4" s="1"/>
  <c r="F25" i="4"/>
  <c r="K25" i="4"/>
  <c r="E6" i="5"/>
  <c r="A7" i="5"/>
  <c r="L7" i="5"/>
  <c r="G8" i="5"/>
  <c r="B9" i="5"/>
  <c r="H9" i="5"/>
  <c r="C10" i="5"/>
  <c r="N10" i="5"/>
  <c r="I11" i="5"/>
  <c r="D16" i="5"/>
  <c r="J16" i="5"/>
  <c r="A17" i="5"/>
  <c r="H17" i="5"/>
  <c r="N17" i="5"/>
  <c r="E18" i="5"/>
  <c r="K18" i="5"/>
  <c r="C19" i="5"/>
  <c r="I19" i="5"/>
  <c r="O19" i="5"/>
  <c r="E20" i="5"/>
  <c r="L20" i="5"/>
  <c r="J21" i="5"/>
  <c r="I24" i="5"/>
  <c r="I25" i="5"/>
  <c r="C6" i="6"/>
  <c r="M6" i="6"/>
  <c r="I7" i="6"/>
  <c r="D8" i="6"/>
  <c r="N8" i="6"/>
  <c r="D10" i="6"/>
  <c r="O10" i="6"/>
  <c r="L11" i="6"/>
  <c r="H12" i="6"/>
  <c r="I15" i="6"/>
  <c r="D16" i="6"/>
  <c r="B17" i="6"/>
  <c r="M17" i="6"/>
  <c r="H20" i="6"/>
  <c r="O21" i="6"/>
  <c r="H13" i="2"/>
  <c r="M13" i="2"/>
  <c r="B14" i="2"/>
  <c r="G14" i="2"/>
  <c r="L14" i="2"/>
  <c r="B15" i="2"/>
  <c r="G15" i="2"/>
  <c r="L15" i="2"/>
  <c r="B6" i="3"/>
  <c r="G6" i="3"/>
  <c r="L6" i="3"/>
  <c r="B7" i="3"/>
  <c r="G7" i="3"/>
  <c r="L7" i="3"/>
  <c r="A8" i="3"/>
  <c r="F8" i="3"/>
  <c r="K8" i="3"/>
  <c r="E9" i="3"/>
  <c r="J9" i="3"/>
  <c r="O9" i="3"/>
  <c r="D10" i="3"/>
  <c r="I10" i="3"/>
  <c r="N10" i="3"/>
  <c r="C11" i="3"/>
  <c r="H11" i="3"/>
  <c r="M11" i="3"/>
  <c r="D16" i="3"/>
  <c r="I16" i="3"/>
  <c r="N16" i="3"/>
  <c r="D17" i="3"/>
  <c r="I17" i="3"/>
  <c r="N17" i="3"/>
  <c r="D18" i="3"/>
  <c r="I18" i="3"/>
  <c r="N18" i="3"/>
  <c r="D19" i="3"/>
  <c r="I19" i="3"/>
  <c r="N19" i="3"/>
  <c r="C20" i="3"/>
  <c r="H20" i="3"/>
  <c r="M20" i="3"/>
  <c r="B21" i="3"/>
  <c r="G21" i="3"/>
  <c r="L21" i="3"/>
  <c r="A22" i="3"/>
  <c r="F22" i="3"/>
  <c r="K22" i="3"/>
  <c r="E23" i="3"/>
  <c r="J23" i="3"/>
  <c r="O23" i="3"/>
  <c r="D24" i="3"/>
  <c r="I24" i="3"/>
  <c r="N24" i="3"/>
  <c r="C25" i="3"/>
  <c r="H25" i="3"/>
  <c r="M25" i="3"/>
  <c r="A12" i="4"/>
  <c r="F12" i="4"/>
  <c r="K12" i="4"/>
  <c r="E13" i="4"/>
  <c r="J13" i="4"/>
  <c r="O13" i="4"/>
  <c r="D14" i="4"/>
  <c r="I14" i="4"/>
  <c r="N14" i="4"/>
  <c r="D15" i="4"/>
  <c r="I15" i="4"/>
  <c r="N15" i="4"/>
  <c r="K6" i="5"/>
  <c r="G7" i="5"/>
  <c r="B8" i="5"/>
  <c r="M8" i="5"/>
  <c r="C9" i="5"/>
  <c r="N9" i="5"/>
  <c r="I10" i="5"/>
  <c r="D11" i="5"/>
  <c r="O11" i="5"/>
  <c r="L12" i="5"/>
  <c r="B13" i="5"/>
  <c r="H13" i="5"/>
  <c r="E14" i="5"/>
  <c r="K14" i="5"/>
  <c r="B15" i="5"/>
  <c r="O15" i="5"/>
  <c r="B17" i="5"/>
  <c r="L18" i="5"/>
  <c r="F20" i="5"/>
  <c r="K21" i="5"/>
  <c r="B22" i="5"/>
  <c r="B23" i="5"/>
  <c r="J23" i="5"/>
  <c r="J24" i="5"/>
  <c r="D6" i="6"/>
  <c r="J7" i="6"/>
  <c r="I9" i="6"/>
  <c r="B11" i="6"/>
  <c r="F13" i="6"/>
  <c r="J18" i="6"/>
  <c r="I19" i="6"/>
  <c r="K20" i="6"/>
  <c r="A22" i="6"/>
  <c r="C12" i="3"/>
  <c r="H12" i="3"/>
  <c r="M12" i="3"/>
  <c r="B13" i="3"/>
  <c r="G13" i="3"/>
  <c r="L13" i="3"/>
  <c r="A14" i="3"/>
  <c r="F14" i="3"/>
  <c r="K14" i="3"/>
  <c r="A15" i="3"/>
  <c r="F15" i="3"/>
  <c r="K15" i="3"/>
  <c r="A6" i="4"/>
  <c r="F6" i="4"/>
  <c r="K6" i="4"/>
  <c r="A7" i="4"/>
  <c r="F7" i="4"/>
  <c r="K7" i="4"/>
  <c r="E8" i="4"/>
  <c r="J8" i="4"/>
  <c r="O8" i="4"/>
  <c r="D9" i="4"/>
  <c r="I9" i="4"/>
  <c r="N9" i="4"/>
  <c r="C10" i="4"/>
  <c r="H10" i="4"/>
  <c r="M10" i="4"/>
  <c r="B11" i="4"/>
  <c r="G11" i="4"/>
  <c r="L11" i="4"/>
  <c r="C16" i="4"/>
  <c r="H16" i="4"/>
  <c r="M16" i="4"/>
  <c r="C17" i="4"/>
  <c r="H17" i="4"/>
  <c r="M17" i="4"/>
  <c r="C18" i="4"/>
  <c r="H18" i="4"/>
  <c r="M18" i="4"/>
  <c r="C19" i="4"/>
  <c r="H19" i="4"/>
  <c r="M19" i="4"/>
  <c r="B20" i="4"/>
  <c r="G20" i="4"/>
  <c r="L20" i="4"/>
  <c r="A21" i="4"/>
  <c r="F21" i="4"/>
  <c r="K21" i="4"/>
  <c r="E22" i="4"/>
  <c r="J22" i="4"/>
  <c r="O22" i="4"/>
  <c r="D23" i="4"/>
  <c r="I23" i="4"/>
  <c r="N23" i="4"/>
  <c r="C24" i="4"/>
  <c r="H24" i="4"/>
  <c r="M24" i="4"/>
  <c r="B25" i="4"/>
  <c r="G25" i="4"/>
  <c r="L25" i="4"/>
  <c r="F6" i="5"/>
  <c r="B7" i="5"/>
  <c r="M7" i="5"/>
  <c r="H8" i="5"/>
  <c r="N8" i="5"/>
  <c r="I9" i="5"/>
  <c r="D10" i="5"/>
  <c r="O10" i="5"/>
  <c r="J11" i="5"/>
  <c r="E16" i="5"/>
  <c r="K16" i="5"/>
  <c r="C17" i="5"/>
  <c r="I17" i="5"/>
  <c r="O17" i="5"/>
  <c r="F18" i="5"/>
  <c r="M18" i="5"/>
  <c r="D19" i="5"/>
  <c r="J19" i="5"/>
  <c r="G20" i="5"/>
  <c r="M20" i="5"/>
  <c r="D21" i="5"/>
  <c r="C22" i="5"/>
  <c r="K23" i="5"/>
  <c r="C24" i="5"/>
  <c r="C25" i="5"/>
  <c r="A7" i="6"/>
  <c r="K7" i="6"/>
  <c r="J9" i="6"/>
  <c r="G10" i="6"/>
  <c r="K12" i="6"/>
  <c r="K15" i="6"/>
  <c r="G16" i="6"/>
  <c r="O17" i="6"/>
  <c r="D22" i="6"/>
  <c r="H6" i="6"/>
  <c r="O6" i="6"/>
  <c r="F7" i="6"/>
  <c r="L7" i="6"/>
  <c r="B8" i="6"/>
  <c r="I8" i="6"/>
  <c r="O8" i="6"/>
  <c r="E9" i="6"/>
  <c r="K9" i="6"/>
  <c r="C10" i="6"/>
  <c r="H11" i="6"/>
  <c r="G12" i="6"/>
  <c r="L13" i="6"/>
  <c r="D14" i="6"/>
  <c r="J15" i="6"/>
  <c r="H16" i="6"/>
  <c r="N17" i="6"/>
  <c r="G18" i="6"/>
  <c r="E19" i="6"/>
  <c r="M19" i="6"/>
  <c r="L20" i="6"/>
  <c r="E21" i="6"/>
  <c r="L21" i="6"/>
  <c r="E22" i="6"/>
  <c r="N22" i="6"/>
  <c r="E23" i="6"/>
  <c r="N23" i="6"/>
  <c r="G24" i="6"/>
  <c r="N24" i="6"/>
  <c r="G25" i="6"/>
  <c r="F12" i="7"/>
  <c r="O12" i="7"/>
  <c r="H13" i="7"/>
  <c r="O13" i="7"/>
  <c r="H14" i="7"/>
  <c r="B15" i="7"/>
  <c r="I15" i="7"/>
  <c r="O20" i="7"/>
  <c r="N21" i="7"/>
  <c r="K22" i="7"/>
  <c r="J23" i="7"/>
  <c r="L6" i="8"/>
  <c r="K13" i="8"/>
  <c r="A6" i="7"/>
  <c r="J6" i="7"/>
  <c r="D7" i="7"/>
  <c r="K7" i="7"/>
  <c r="D8" i="7"/>
  <c r="M8" i="7"/>
  <c r="D9" i="7"/>
  <c r="M9" i="7"/>
  <c r="F10" i="7"/>
  <c r="M10" i="7"/>
  <c r="F11" i="7"/>
  <c r="O11" i="7"/>
  <c r="B16" i="7"/>
  <c r="K16" i="7"/>
  <c r="C17" i="7"/>
  <c r="L17" i="7"/>
  <c r="F18" i="7"/>
  <c r="N18" i="7"/>
  <c r="I19" i="7"/>
  <c r="O21" i="7"/>
  <c r="K23" i="7"/>
  <c r="G24" i="7"/>
  <c r="C9" i="8"/>
  <c r="B14" i="8"/>
  <c r="F22" i="6"/>
  <c r="O22" i="6"/>
  <c r="H23" i="6"/>
  <c r="O23" i="6"/>
  <c r="H24" i="6"/>
  <c r="A25" i="6"/>
  <c r="T15" i="6" s="1"/>
  <c r="H25" i="6"/>
  <c r="I12" i="7"/>
  <c r="I13" i="7"/>
  <c r="B14" i="7"/>
  <c r="I14" i="7"/>
  <c r="C15" i="7"/>
  <c r="L15" i="7"/>
  <c r="D20" i="7"/>
  <c r="C21" i="7"/>
  <c r="A6" i="8"/>
  <c r="M6" i="8"/>
  <c r="K14" i="8"/>
  <c r="H19" i="6"/>
  <c r="D6" i="7"/>
  <c r="K6" i="7"/>
  <c r="E7" i="7"/>
  <c r="N7" i="7"/>
  <c r="E8" i="7"/>
  <c r="N8" i="7"/>
  <c r="G9" i="7"/>
  <c r="N9" i="7"/>
  <c r="G10" i="7"/>
  <c r="G11" i="7"/>
  <c r="C16" i="7"/>
  <c r="L16" i="7"/>
  <c r="F17" i="7"/>
  <c r="M17" i="7"/>
  <c r="G18" i="7"/>
  <c r="B19" i="7"/>
  <c r="J19" i="7"/>
  <c r="D21" i="7"/>
  <c r="L23" i="7"/>
  <c r="H25" i="7"/>
  <c r="B7" i="8"/>
  <c r="E15" i="8"/>
  <c r="N20" i="5"/>
  <c r="C21" i="5"/>
  <c r="H21" i="5"/>
  <c r="M21" i="5"/>
  <c r="H22" i="5"/>
  <c r="I23" i="5"/>
  <c r="D24" i="5"/>
  <c r="O24" i="5"/>
  <c r="J25" i="5"/>
  <c r="E6" i="6"/>
  <c r="K6" i="6"/>
  <c r="B7" i="6"/>
  <c r="H7" i="6"/>
  <c r="O7" i="6"/>
  <c r="E8" i="6"/>
  <c r="K8" i="6"/>
  <c r="A9" i="6"/>
  <c r="H9" i="6"/>
  <c r="E10" i="6"/>
  <c r="M10" i="6"/>
  <c r="A13" i="6"/>
  <c r="F14" i="6"/>
  <c r="N14" i="6"/>
  <c r="J16" i="6"/>
  <c r="C17" i="6"/>
  <c r="I18" i="6"/>
  <c r="B19" i="6"/>
  <c r="O19" i="6"/>
  <c r="G20" i="6"/>
  <c r="G21" i="6"/>
  <c r="I22" i="6"/>
  <c r="I23" i="6"/>
  <c r="B24" i="6"/>
  <c r="I24" i="6"/>
  <c r="B25" i="6"/>
  <c r="K25" i="6"/>
  <c r="A12" i="7"/>
  <c r="J12" i="7"/>
  <c r="C13" i="7"/>
  <c r="J13" i="7"/>
  <c r="C14" i="7"/>
  <c r="L14" i="7"/>
  <c r="D15" i="7"/>
  <c r="M15" i="7"/>
  <c r="H20" i="7"/>
  <c r="L24" i="7"/>
  <c r="K25" i="7"/>
  <c r="B6" i="8"/>
  <c r="L15" i="8"/>
  <c r="A20" i="6"/>
  <c r="E6" i="7"/>
  <c r="N6" i="7"/>
  <c r="F7" i="7"/>
  <c r="O7" i="7"/>
  <c r="H8" i="7"/>
  <c r="O8" i="7"/>
  <c r="H9" i="7"/>
  <c r="A10" i="7"/>
  <c r="H10" i="7"/>
  <c r="A11" i="7"/>
  <c r="J11" i="7"/>
  <c r="F16" i="7"/>
  <c r="M16" i="7"/>
  <c r="G17" i="7"/>
  <c r="A18" i="7"/>
  <c r="I20" i="7"/>
  <c r="E21" i="7"/>
  <c r="A23" i="7"/>
  <c r="H7" i="8"/>
  <c r="C23" i="6"/>
  <c r="J23" i="6"/>
  <c r="C24" i="6"/>
  <c r="L24" i="6"/>
  <c r="C25" i="6"/>
  <c r="L25" i="6"/>
  <c r="D12" i="7"/>
  <c r="K12" i="7"/>
  <c r="D13" i="7"/>
  <c r="M13" i="7"/>
  <c r="D14" i="7"/>
  <c r="M14" i="7"/>
  <c r="G15" i="7"/>
  <c r="N15" i="7"/>
  <c r="K18" i="7"/>
  <c r="D19" i="7"/>
  <c r="N19" i="7"/>
  <c r="A24" i="7"/>
  <c r="M25" i="7"/>
  <c r="J7" i="8"/>
  <c r="E12" i="5"/>
  <c r="J12" i="5"/>
  <c r="O12" i="5"/>
  <c r="D13" i="5"/>
  <c r="I13" i="5"/>
  <c r="N13" i="5"/>
  <c r="C14" i="5"/>
  <c r="H14" i="5"/>
  <c r="M14" i="5"/>
  <c r="C15" i="5"/>
  <c r="H15" i="5"/>
  <c r="M15" i="5"/>
  <c r="J22" i="5"/>
  <c r="E23" i="5"/>
  <c r="K24" i="5"/>
  <c r="L25" i="5"/>
  <c r="D7" i="6"/>
  <c r="M8" i="6"/>
  <c r="H10" i="6"/>
  <c r="M11" i="6"/>
  <c r="L12" i="6"/>
  <c r="A14" i="6"/>
  <c r="I14" i="6"/>
  <c r="O15" i="6"/>
  <c r="E16" i="6"/>
  <c r="M16" i="6"/>
  <c r="D18" i="6"/>
  <c r="L18" i="6"/>
  <c r="J19" i="6"/>
  <c r="B20" i="6"/>
  <c r="F6" i="7"/>
  <c r="O6" i="7"/>
  <c r="I7" i="7"/>
  <c r="I8" i="7"/>
  <c r="B9" i="7"/>
  <c r="I9" i="7"/>
  <c r="B10" i="7"/>
  <c r="K10" i="7"/>
  <c r="B11" i="7"/>
  <c r="K11" i="7"/>
  <c r="G16" i="7"/>
  <c r="A17" i="7"/>
  <c r="H17" i="7"/>
  <c r="B18" i="7"/>
  <c r="J20" i="7"/>
  <c r="F22" i="7"/>
  <c r="A25" i="7"/>
  <c r="T15" i="7" s="1"/>
  <c r="G6" i="8"/>
  <c r="N7" i="8"/>
  <c r="B12" i="8"/>
  <c r="D23" i="6"/>
  <c r="M23" i="6"/>
  <c r="D24" i="6"/>
  <c r="M24" i="6"/>
  <c r="F25" i="6"/>
  <c r="M25" i="6"/>
  <c r="E12" i="7"/>
  <c r="N12" i="7"/>
  <c r="E13" i="7"/>
  <c r="N13" i="7"/>
  <c r="G14" i="7"/>
  <c r="N14" i="7"/>
  <c r="H15" i="7"/>
  <c r="L18" i="7"/>
  <c r="G19" i="7"/>
  <c r="O19" i="7"/>
  <c r="J21" i="7"/>
  <c r="I22" i="7"/>
  <c r="F23" i="7"/>
  <c r="E24" i="7"/>
  <c r="I12" i="8"/>
  <c r="F12" i="5"/>
  <c r="K12" i="5"/>
  <c r="E13" i="5"/>
  <c r="J13" i="5"/>
  <c r="O13" i="5"/>
  <c r="D14" i="5"/>
  <c r="I14" i="5"/>
  <c r="N14" i="5"/>
  <c r="D15" i="5"/>
  <c r="I15" i="5"/>
  <c r="N15" i="5"/>
  <c r="K22" i="5"/>
  <c r="F23" i="5"/>
  <c r="A24" i="5"/>
  <c r="B25" i="5"/>
  <c r="M25" i="5"/>
  <c r="N6" i="6"/>
  <c r="H8" i="6"/>
  <c r="I10" i="6"/>
  <c r="A11" i="6"/>
  <c r="N11" i="6"/>
  <c r="M12" i="6"/>
  <c r="E13" i="6"/>
  <c r="J14" i="6"/>
  <c r="N16" i="6"/>
  <c r="G17" i="6"/>
  <c r="E18" i="6"/>
  <c r="M18" i="6"/>
  <c r="C20" i="6"/>
  <c r="I6" i="7"/>
  <c r="A7" i="7"/>
  <c r="J7" i="7"/>
  <c r="C8" i="7"/>
  <c r="J8" i="7"/>
  <c r="C9" i="7"/>
  <c r="L9" i="7"/>
  <c r="C10" i="7"/>
  <c r="L10" i="7"/>
  <c r="E11" i="7"/>
  <c r="L11" i="7"/>
  <c r="A16" i="7"/>
  <c r="H16" i="7"/>
  <c r="B17" i="7"/>
  <c r="K17" i="7"/>
  <c r="C18" i="7"/>
  <c r="F24" i="7"/>
  <c r="K6" i="8"/>
  <c r="B13" i="8"/>
  <c r="E12" i="6"/>
  <c r="J12" i="6"/>
  <c r="O12" i="6"/>
  <c r="D13" i="6"/>
  <c r="I13" i="6"/>
  <c r="N13" i="6"/>
  <c r="C14" i="6"/>
  <c r="H14" i="6"/>
  <c r="M14" i="6"/>
  <c r="C15" i="6"/>
  <c r="H15" i="6"/>
  <c r="M15" i="6"/>
  <c r="C6" i="7"/>
  <c r="H6" i="7"/>
  <c r="M6" i="7"/>
  <c r="C7" i="7"/>
  <c r="H7" i="7"/>
  <c r="M7" i="7"/>
  <c r="B8" i="7"/>
  <c r="G8" i="7"/>
  <c r="L8" i="7"/>
  <c r="A9" i="7"/>
  <c r="F9" i="7"/>
  <c r="K9" i="7"/>
  <c r="E10" i="7"/>
  <c r="J10" i="7"/>
  <c r="O10" i="7"/>
  <c r="D11" i="7"/>
  <c r="I11" i="7"/>
  <c r="N11" i="7"/>
  <c r="E16" i="7"/>
  <c r="J16" i="7"/>
  <c r="O16" i="7"/>
  <c r="E17" i="7"/>
  <c r="J17" i="7"/>
  <c r="O17" i="7"/>
  <c r="E18" i="7"/>
  <c r="A19" i="7"/>
  <c r="L19" i="7"/>
  <c r="M20" i="7"/>
  <c r="H21" i="7"/>
  <c r="C22" i="7"/>
  <c r="N22" i="7"/>
  <c r="O23" i="7"/>
  <c r="J24" i="7"/>
  <c r="E25" i="7"/>
  <c r="E6" i="8"/>
  <c r="D8" i="8"/>
  <c r="N9" i="8"/>
  <c r="G12" i="8"/>
  <c r="N12" i="8"/>
  <c r="G13" i="8"/>
  <c r="G14" i="8"/>
  <c r="A15" i="8"/>
  <c r="J15" i="8"/>
  <c r="L12" i="9"/>
  <c r="I13" i="9"/>
  <c r="E14" i="9"/>
  <c r="A16" i="9"/>
  <c r="J17" i="9"/>
  <c r="K19" i="9"/>
  <c r="K10" i="10"/>
  <c r="E8" i="8"/>
  <c r="K8" i="8"/>
  <c r="A9" i="8"/>
  <c r="G9" i="8"/>
  <c r="E10" i="8"/>
  <c r="N10" i="8"/>
  <c r="G11" i="8"/>
  <c r="N11" i="8"/>
  <c r="C16" i="8"/>
  <c r="J16" i="8"/>
  <c r="D17" i="8"/>
  <c r="M17" i="8"/>
  <c r="E18" i="8"/>
  <c r="N18" i="8"/>
  <c r="H19" i="8"/>
  <c r="O19" i="8"/>
  <c r="H20" i="8"/>
  <c r="A21" i="8"/>
  <c r="H21" i="8"/>
  <c r="A22" i="8"/>
  <c r="J22" i="8"/>
  <c r="A23" i="8"/>
  <c r="J23" i="8"/>
  <c r="C24" i="8"/>
  <c r="J24" i="8"/>
  <c r="C25" i="8"/>
  <c r="L25" i="8"/>
  <c r="F6" i="9"/>
  <c r="O6" i="9"/>
  <c r="G7" i="9"/>
  <c r="I8" i="9"/>
  <c r="I9" i="9"/>
  <c r="B10" i="9"/>
  <c r="I10" i="9"/>
  <c r="C11" i="9"/>
  <c r="A12" i="9"/>
  <c r="J13" i="9"/>
  <c r="A24" i="9"/>
  <c r="C6" i="10"/>
  <c r="C11" i="10"/>
  <c r="C20" i="7"/>
  <c r="N20" i="7"/>
  <c r="I21" i="7"/>
  <c r="D22" i="7"/>
  <c r="E23" i="7"/>
  <c r="K24" i="7"/>
  <c r="F25" i="7"/>
  <c r="F6" i="8"/>
  <c r="O7" i="8"/>
  <c r="H9" i="8"/>
  <c r="O9" i="8"/>
  <c r="H12" i="8"/>
  <c r="A13" i="8"/>
  <c r="H13" i="8"/>
  <c r="A14" i="8"/>
  <c r="J14" i="8"/>
  <c r="B15" i="8"/>
  <c r="K15" i="8"/>
  <c r="B12" i="9"/>
  <c r="O12" i="9"/>
  <c r="K13" i="9"/>
  <c r="H14" i="9"/>
  <c r="F15" i="9"/>
  <c r="E16" i="9"/>
  <c r="A18" i="9"/>
  <c r="A20" i="9"/>
  <c r="F24" i="9"/>
  <c r="F6" i="10"/>
  <c r="J11" i="10"/>
  <c r="C7" i="8"/>
  <c r="I7" i="8"/>
  <c r="F8" i="8"/>
  <c r="L8" i="8"/>
  <c r="B9" i="8"/>
  <c r="I9" i="8"/>
  <c r="H10" i="8"/>
  <c r="O10" i="8"/>
  <c r="H11" i="8"/>
  <c r="D16" i="8"/>
  <c r="M16" i="8"/>
  <c r="E17" i="8"/>
  <c r="N17" i="8"/>
  <c r="H18" i="8"/>
  <c r="O18" i="8"/>
  <c r="I19" i="8"/>
  <c r="B20" i="8"/>
  <c r="I20" i="8"/>
  <c r="B21" i="8"/>
  <c r="K21" i="8"/>
  <c r="B22" i="8"/>
  <c r="K22" i="8"/>
  <c r="D23" i="8"/>
  <c r="K23" i="8"/>
  <c r="D24" i="8"/>
  <c r="M24" i="8"/>
  <c r="D25" i="8"/>
  <c r="M25" i="8"/>
  <c r="G6" i="9"/>
  <c r="A7" i="9"/>
  <c r="J7" i="9"/>
  <c r="A8" i="9"/>
  <c r="J8" i="9"/>
  <c r="C9" i="9"/>
  <c r="J9" i="9"/>
  <c r="C10" i="9"/>
  <c r="L10" i="9"/>
  <c r="I14" i="9"/>
  <c r="F16" i="9"/>
  <c r="D22" i="9"/>
  <c r="K6" i="10"/>
  <c r="E12" i="9"/>
  <c r="A13" i="9"/>
  <c r="N13" i="9"/>
  <c r="J14" i="9"/>
  <c r="I15" i="9"/>
  <c r="G16" i="9"/>
  <c r="G18" i="9"/>
  <c r="G20" i="9"/>
  <c r="I22" i="9"/>
  <c r="A9" i="10"/>
  <c r="D7" i="8"/>
  <c r="K7" i="8"/>
  <c r="A8" i="8"/>
  <c r="G8" i="8"/>
  <c r="M8" i="8"/>
  <c r="D9" i="8"/>
  <c r="J9" i="8"/>
  <c r="I10" i="8"/>
  <c r="B11" i="8"/>
  <c r="I11" i="8"/>
  <c r="E16" i="8"/>
  <c r="N16" i="8"/>
  <c r="H17" i="8"/>
  <c r="O17" i="8"/>
  <c r="I18" i="8"/>
  <c r="C19" i="8"/>
  <c r="J19" i="8"/>
  <c r="C20" i="8"/>
  <c r="L20" i="8"/>
  <c r="C21" i="8"/>
  <c r="L21" i="8"/>
  <c r="E22" i="8"/>
  <c r="L22" i="8"/>
  <c r="E23" i="8"/>
  <c r="N23" i="8"/>
  <c r="E24" i="8"/>
  <c r="N24" i="8"/>
  <c r="G25" i="8"/>
  <c r="N25" i="8"/>
  <c r="A6" i="9"/>
  <c r="J6" i="9"/>
  <c r="B7" i="9"/>
  <c r="K7" i="9"/>
  <c r="D8" i="9"/>
  <c r="K8" i="9"/>
  <c r="D9" i="9"/>
  <c r="M9" i="9"/>
  <c r="D10" i="9"/>
  <c r="M10" i="9"/>
  <c r="H11" i="9"/>
  <c r="F12" i="9"/>
  <c r="O13" i="9"/>
  <c r="L22" i="9"/>
  <c r="F9" i="10"/>
  <c r="E20" i="7"/>
  <c r="A22" i="7"/>
  <c r="L22" i="7"/>
  <c r="G23" i="7"/>
  <c r="B24" i="7"/>
  <c r="C25" i="7"/>
  <c r="N25" i="7"/>
  <c r="H6" i="8"/>
  <c r="E7" i="8"/>
  <c r="N8" i="8"/>
  <c r="B10" i="8"/>
  <c r="C12" i="8"/>
  <c r="L12" i="8"/>
  <c r="C13" i="8"/>
  <c r="L13" i="8"/>
  <c r="E14" i="8"/>
  <c r="L14" i="8"/>
  <c r="F15" i="8"/>
  <c r="O15" i="8"/>
  <c r="G12" i="9"/>
  <c r="D13" i="9"/>
  <c r="M14" i="9"/>
  <c r="L16" i="9"/>
  <c r="M18" i="9"/>
  <c r="N20" i="9"/>
  <c r="A23" i="9"/>
  <c r="D7" i="10"/>
  <c r="I9" i="10"/>
  <c r="I20" i="6"/>
  <c r="N20" i="6"/>
  <c r="C21" i="6"/>
  <c r="H21" i="6"/>
  <c r="M21" i="6"/>
  <c r="B22" i="6"/>
  <c r="G22" i="6"/>
  <c r="L22" i="6"/>
  <c r="A23" i="6"/>
  <c r="F23" i="6"/>
  <c r="K23" i="6"/>
  <c r="E24" i="6"/>
  <c r="J24" i="6"/>
  <c r="O24" i="6"/>
  <c r="D25" i="6"/>
  <c r="I25" i="6"/>
  <c r="N25" i="6"/>
  <c r="B12" i="7"/>
  <c r="G12" i="7"/>
  <c r="L12" i="7"/>
  <c r="A13" i="7"/>
  <c r="F13" i="7"/>
  <c r="K13" i="7"/>
  <c r="E14" i="7"/>
  <c r="J14" i="7"/>
  <c r="O14" i="7"/>
  <c r="E15" i="7"/>
  <c r="J15" i="7"/>
  <c r="O15" i="7"/>
  <c r="I18" i="7"/>
  <c r="E19" i="7"/>
  <c r="K20" i="7"/>
  <c r="L21" i="7"/>
  <c r="G22" i="7"/>
  <c r="B23" i="7"/>
  <c r="M23" i="7"/>
  <c r="N24" i="7"/>
  <c r="I25" i="7"/>
  <c r="C6" i="8"/>
  <c r="N6" i="8"/>
  <c r="F7" i="8"/>
  <c r="L7" i="8"/>
  <c r="B8" i="8"/>
  <c r="H8" i="8"/>
  <c r="O8" i="8"/>
  <c r="E9" i="8"/>
  <c r="K9" i="8"/>
  <c r="C10" i="8"/>
  <c r="J10" i="8"/>
  <c r="C11" i="8"/>
  <c r="L11" i="8"/>
  <c r="H16" i="8"/>
  <c r="O16" i="8"/>
  <c r="I17" i="8"/>
  <c r="C18" i="8"/>
  <c r="J18" i="8"/>
  <c r="D19" i="8"/>
  <c r="M19" i="8"/>
  <c r="D20" i="8"/>
  <c r="M20" i="8"/>
  <c r="F21" i="8"/>
  <c r="M21" i="8"/>
  <c r="F22" i="8"/>
  <c r="O22" i="8"/>
  <c r="F23" i="8"/>
  <c r="O23" i="8"/>
  <c r="H24" i="8"/>
  <c r="O24" i="8"/>
  <c r="H25" i="8"/>
  <c r="B6" i="9"/>
  <c r="K6" i="9"/>
  <c r="E7" i="9"/>
  <c r="L7" i="9"/>
  <c r="E8" i="9"/>
  <c r="N8" i="9"/>
  <c r="E9" i="9"/>
  <c r="N9" i="9"/>
  <c r="G10" i="9"/>
  <c r="N10" i="9"/>
  <c r="E13" i="9"/>
  <c r="N14" i="9"/>
  <c r="L15" i="9"/>
  <c r="F25" i="9"/>
  <c r="I7" i="10"/>
  <c r="N9" i="10"/>
  <c r="O21" i="5"/>
  <c r="D22" i="5"/>
  <c r="I22" i="5"/>
  <c r="N22" i="5"/>
  <c r="C23" i="5"/>
  <c r="H23" i="5"/>
  <c r="M23" i="5"/>
  <c r="B24" i="5"/>
  <c r="G24" i="5"/>
  <c r="L24" i="5"/>
  <c r="A25" i="5"/>
  <c r="T15" i="5" s="1"/>
  <c r="F25" i="5"/>
  <c r="K25" i="5"/>
  <c r="D12" i="6"/>
  <c r="I12" i="6"/>
  <c r="N12" i="6"/>
  <c r="C13" i="6"/>
  <c r="H13" i="6"/>
  <c r="M13" i="6"/>
  <c r="B14" i="6"/>
  <c r="G14" i="6"/>
  <c r="L14" i="6"/>
  <c r="B15" i="6"/>
  <c r="G15" i="6"/>
  <c r="L15" i="6"/>
  <c r="B6" i="7"/>
  <c r="G6" i="7"/>
  <c r="L6" i="7"/>
  <c r="B7" i="7"/>
  <c r="G7" i="7"/>
  <c r="L7" i="7"/>
  <c r="A8" i="7"/>
  <c r="F8" i="7"/>
  <c r="K8" i="7"/>
  <c r="E9" i="7"/>
  <c r="J9" i="7"/>
  <c r="O9" i="7"/>
  <c r="D10" i="7"/>
  <c r="I10" i="7"/>
  <c r="N10" i="7"/>
  <c r="C11" i="7"/>
  <c r="H11" i="7"/>
  <c r="M11" i="7"/>
  <c r="D16" i="7"/>
  <c r="I16" i="7"/>
  <c r="N16" i="7"/>
  <c r="D17" i="7"/>
  <c r="I17" i="7"/>
  <c r="N17" i="7"/>
  <c r="D18" i="7"/>
  <c r="O18" i="7"/>
  <c r="K19" i="7"/>
  <c r="F20" i="7"/>
  <c r="G21" i="7"/>
  <c r="B22" i="7"/>
  <c r="M22" i="7"/>
  <c r="H23" i="7"/>
  <c r="I24" i="7"/>
  <c r="D25" i="7"/>
  <c r="O25" i="7"/>
  <c r="I6" i="8"/>
  <c r="O6" i="8"/>
  <c r="I8" i="8"/>
  <c r="D12" i="8"/>
  <c r="M12" i="8"/>
  <c r="F13" i="8"/>
  <c r="M13" i="8"/>
  <c r="F14" i="8"/>
  <c r="O14" i="8"/>
  <c r="G15" i="8"/>
  <c r="J12" i="9"/>
  <c r="F13" i="9"/>
  <c r="C14" i="9"/>
  <c r="C17" i="9"/>
  <c r="E19" i="9"/>
  <c r="D21" i="9"/>
  <c r="K25" i="9"/>
  <c r="L7" i="10"/>
  <c r="L9" i="6"/>
  <c r="A10" i="6"/>
  <c r="F10" i="6"/>
  <c r="K10" i="6"/>
  <c r="E11" i="6"/>
  <c r="J11" i="6"/>
  <c r="O11" i="6"/>
  <c r="A16" i="6"/>
  <c r="F16" i="6"/>
  <c r="K16" i="6"/>
  <c r="A17" i="6"/>
  <c r="F17" i="6"/>
  <c r="K17" i="6"/>
  <c r="A18" i="6"/>
  <c r="F18" i="6"/>
  <c r="K18" i="6"/>
  <c r="A19" i="6"/>
  <c r="F19" i="6"/>
  <c r="K19" i="6"/>
  <c r="E20" i="6"/>
  <c r="J20" i="6"/>
  <c r="O20" i="6"/>
  <c r="D21" i="6"/>
  <c r="I21" i="6"/>
  <c r="N21" i="6"/>
  <c r="C22" i="6"/>
  <c r="H22" i="6"/>
  <c r="M22" i="6"/>
  <c r="B23" i="6"/>
  <c r="G23" i="6"/>
  <c r="L23" i="6"/>
  <c r="A24" i="6"/>
  <c r="F24" i="6"/>
  <c r="K24" i="6"/>
  <c r="E25" i="6"/>
  <c r="J25" i="6"/>
  <c r="O25" i="6"/>
  <c r="C12" i="7"/>
  <c r="H12" i="7"/>
  <c r="M12" i="7"/>
  <c r="B13" i="7"/>
  <c r="G13" i="7"/>
  <c r="L13" i="7"/>
  <c r="A14" i="7"/>
  <c r="F14" i="7"/>
  <c r="K14" i="7"/>
  <c r="A15" i="7"/>
  <c r="F15" i="7"/>
  <c r="K15" i="7"/>
  <c r="J18" i="7"/>
  <c r="F19" i="7"/>
  <c r="A20" i="7"/>
  <c r="B21" i="7"/>
  <c r="M21" i="7"/>
  <c r="H22" i="7"/>
  <c r="C23" i="7"/>
  <c r="D24" i="7"/>
  <c r="O24" i="7"/>
  <c r="J25" i="7"/>
  <c r="D6" i="8"/>
  <c r="J6" i="8"/>
  <c r="A7" i="8"/>
  <c r="G7" i="8"/>
  <c r="M7" i="8"/>
  <c r="C8" i="8"/>
  <c r="J8" i="8"/>
  <c r="F9" i="8"/>
  <c r="M9" i="8"/>
  <c r="D10" i="8"/>
  <c r="M10" i="8"/>
  <c r="D11" i="8"/>
  <c r="M11" i="8"/>
  <c r="I16" i="8"/>
  <c r="C17" i="8"/>
  <c r="J17" i="8"/>
  <c r="D18" i="8"/>
  <c r="M18" i="8"/>
  <c r="E19" i="8"/>
  <c r="N19" i="8"/>
  <c r="G20" i="8"/>
  <c r="N20" i="8"/>
  <c r="G21" i="8"/>
  <c r="G22" i="8"/>
  <c r="I23" i="8"/>
  <c r="I24" i="8"/>
  <c r="B25" i="8"/>
  <c r="I25" i="8"/>
  <c r="E6" i="9"/>
  <c r="L6" i="9"/>
  <c r="F7" i="9"/>
  <c r="O7" i="9"/>
  <c r="F8" i="9"/>
  <c r="O8" i="9"/>
  <c r="H9" i="9"/>
  <c r="O9" i="9"/>
  <c r="H10" i="9"/>
  <c r="M11" i="9"/>
  <c r="K12" i="9"/>
  <c r="D14" i="9"/>
  <c r="A15" i="9"/>
  <c r="N25" i="9"/>
  <c r="A8" i="10"/>
  <c r="A12" i="8"/>
  <c r="F12" i="8"/>
  <c r="K12" i="8"/>
  <c r="E13" i="8"/>
  <c r="J13" i="8"/>
  <c r="O13" i="8"/>
  <c r="D14" i="8"/>
  <c r="I14" i="8"/>
  <c r="N14" i="8"/>
  <c r="D15" i="8"/>
  <c r="I15" i="8"/>
  <c r="N15" i="8"/>
  <c r="D6" i="9"/>
  <c r="I6" i="9"/>
  <c r="N6" i="9"/>
  <c r="D7" i="9"/>
  <c r="I7" i="9"/>
  <c r="N7" i="9"/>
  <c r="C8" i="9"/>
  <c r="H8" i="9"/>
  <c r="M8" i="9"/>
  <c r="B9" i="9"/>
  <c r="G9" i="9"/>
  <c r="L9" i="9"/>
  <c r="A10" i="9"/>
  <c r="F10" i="9"/>
  <c r="K10" i="9"/>
  <c r="E11" i="9"/>
  <c r="J11" i="9"/>
  <c r="O11" i="9"/>
  <c r="C15" i="9"/>
  <c r="N15" i="9"/>
  <c r="I21" i="9"/>
  <c r="N22" i="9"/>
  <c r="F23" i="9"/>
  <c r="K24" i="9"/>
  <c r="H6" i="10"/>
  <c r="A7" i="10"/>
  <c r="N7" i="10"/>
  <c r="F8" i="10"/>
  <c r="K9" i="10"/>
  <c r="C10" i="10"/>
  <c r="I12" i="10"/>
  <c r="B13" i="10"/>
  <c r="B14" i="10"/>
  <c r="K14" i="10"/>
  <c r="L15" i="10"/>
  <c r="M16" i="10"/>
  <c r="H18" i="10"/>
  <c r="B20" i="10"/>
  <c r="K21" i="10"/>
  <c r="F23" i="10"/>
  <c r="B25" i="10"/>
  <c r="I6" i="11"/>
  <c r="E7" i="11"/>
  <c r="B9" i="11"/>
  <c r="B10" i="11"/>
  <c r="A16" i="11"/>
  <c r="C21" i="11"/>
  <c r="J23" i="11"/>
  <c r="L6" i="12"/>
  <c r="K16" i="9"/>
  <c r="B17" i="9"/>
  <c r="H17" i="9"/>
  <c r="O17" i="9"/>
  <c r="F18" i="9"/>
  <c r="L18" i="9"/>
  <c r="C19" i="9"/>
  <c r="J19" i="9"/>
  <c r="F20" i="9"/>
  <c r="L20" i="9"/>
  <c r="C21" i="9"/>
  <c r="H22" i="9"/>
  <c r="M23" i="9"/>
  <c r="E24" i="9"/>
  <c r="J25" i="9"/>
  <c r="B6" i="10"/>
  <c r="H7" i="10"/>
  <c r="M8" i="10"/>
  <c r="E9" i="10"/>
  <c r="J10" i="10"/>
  <c r="B11" i="10"/>
  <c r="I11" i="10"/>
  <c r="E16" i="10"/>
  <c r="N16" i="10"/>
  <c r="F17" i="10"/>
  <c r="O17" i="10"/>
  <c r="I18" i="10"/>
  <c r="A19" i="10"/>
  <c r="J19" i="10"/>
  <c r="C20" i="10"/>
  <c r="J20" i="10"/>
  <c r="C21" i="10"/>
  <c r="L21" i="10"/>
  <c r="O23" i="10"/>
  <c r="I24" i="10"/>
  <c r="C25" i="10"/>
  <c r="K25" i="10"/>
  <c r="J6" i="11"/>
  <c r="C8" i="11"/>
  <c r="J11" i="11"/>
  <c r="L18" i="11"/>
  <c r="L23" i="11"/>
  <c r="G7" i="12"/>
  <c r="A11" i="9"/>
  <c r="F11" i="9"/>
  <c r="K11" i="9"/>
  <c r="D15" i="9"/>
  <c r="J21" i="9"/>
  <c r="B22" i="9"/>
  <c r="G23" i="9"/>
  <c r="L24" i="9"/>
  <c r="D25" i="9"/>
  <c r="I6" i="10"/>
  <c r="B7" i="10"/>
  <c r="G8" i="10"/>
  <c r="O8" i="10"/>
  <c r="L9" i="10"/>
  <c r="D10" i="10"/>
  <c r="C12" i="10"/>
  <c r="C13" i="10"/>
  <c r="L13" i="10"/>
  <c r="L14" i="10"/>
  <c r="F15" i="10"/>
  <c r="H17" i="10"/>
  <c r="C19" i="10"/>
  <c r="L20" i="10"/>
  <c r="N22" i="10"/>
  <c r="H23" i="10"/>
  <c r="M25" i="10"/>
  <c r="H7" i="11"/>
  <c r="C9" i="11"/>
  <c r="D10" i="11"/>
  <c r="H16" i="11"/>
  <c r="J21" i="11"/>
  <c r="O7" i="12"/>
  <c r="F16" i="10"/>
  <c r="O16" i="10"/>
  <c r="I17" i="10"/>
  <c r="A18" i="10"/>
  <c r="J18" i="10"/>
  <c r="D19" i="10"/>
  <c r="K19" i="10"/>
  <c r="D20" i="10"/>
  <c r="M20" i="10"/>
  <c r="D21" i="10"/>
  <c r="M21" i="10"/>
  <c r="J24" i="10"/>
  <c r="D25" i="10"/>
  <c r="N25" i="10"/>
  <c r="K6" i="11"/>
  <c r="D9" i="11"/>
  <c r="H10" i="11"/>
  <c r="A12" i="11"/>
  <c r="B14" i="11"/>
  <c r="J16" i="11"/>
  <c r="F19" i="11"/>
  <c r="E24" i="11"/>
  <c r="M8" i="12"/>
  <c r="B11" i="9"/>
  <c r="G11" i="9"/>
  <c r="L11" i="9"/>
  <c r="K15" i="9"/>
  <c r="C22" i="9"/>
  <c r="H23" i="9"/>
  <c r="E25" i="9"/>
  <c r="C7" i="10"/>
  <c r="K7" i="10"/>
  <c r="H8" i="10"/>
  <c r="E10" i="10"/>
  <c r="M10" i="10"/>
  <c r="L11" i="10"/>
  <c r="D12" i="10"/>
  <c r="M12" i="10"/>
  <c r="M13" i="10"/>
  <c r="F14" i="10"/>
  <c r="G15" i="10"/>
  <c r="H16" i="10"/>
  <c r="C18" i="10"/>
  <c r="M19" i="10"/>
  <c r="F21" i="10"/>
  <c r="G22" i="10"/>
  <c r="I23" i="10"/>
  <c r="C24" i="10"/>
  <c r="K7" i="11"/>
  <c r="H8" i="11"/>
  <c r="H9" i="11"/>
  <c r="I10" i="11"/>
  <c r="C22" i="11"/>
  <c r="M16" i="9"/>
  <c r="E17" i="9"/>
  <c r="K17" i="9"/>
  <c r="B18" i="9"/>
  <c r="H18" i="9"/>
  <c r="O18" i="9"/>
  <c r="F19" i="9"/>
  <c r="L19" i="9"/>
  <c r="B20" i="9"/>
  <c r="I20" i="9"/>
  <c r="O20" i="9"/>
  <c r="E21" i="9"/>
  <c r="M21" i="9"/>
  <c r="B23" i="9"/>
  <c r="G24" i="9"/>
  <c r="O24" i="9"/>
  <c r="D6" i="10"/>
  <c r="L6" i="10"/>
  <c r="B8" i="10"/>
  <c r="J8" i="10"/>
  <c r="G9" i="10"/>
  <c r="O9" i="10"/>
  <c r="D11" i="10"/>
  <c r="M11" i="10"/>
  <c r="I16" i="10"/>
  <c r="A17" i="10"/>
  <c r="J17" i="10"/>
  <c r="D18" i="10"/>
  <c r="K18" i="10"/>
  <c r="E19" i="10"/>
  <c r="N19" i="10"/>
  <c r="E20" i="10"/>
  <c r="N20" i="10"/>
  <c r="G21" i="10"/>
  <c r="N21" i="10"/>
  <c r="L6" i="11"/>
  <c r="I8" i="11"/>
  <c r="I9" i="11"/>
  <c r="J10" i="11"/>
  <c r="I12" i="11"/>
  <c r="M19" i="11"/>
  <c r="J10" i="12"/>
  <c r="F10" i="10"/>
  <c r="N10" i="10"/>
  <c r="N12" i="10"/>
  <c r="G13" i="10"/>
  <c r="G14" i="10"/>
  <c r="A15" i="10"/>
  <c r="C17" i="10"/>
  <c r="M18" i="10"/>
  <c r="G20" i="10"/>
  <c r="D24" i="10"/>
  <c r="N24" i="10"/>
  <c r="D6" i="11"/>
  <c r="L7" i="11"/>
  <c r="K8" i="11"/>
  <c r="J12" i="11"/>
  <c r="I17" i="11"/>
  <c r="J22" i="11"/>
  <c r="L9" i="8"/>
  <c r="A10" i="8"/>
  <c r="F10" i="8"/>
  <c r="K10" i="8"/>
  <c r="E11" i="8"/>
  <c r="J11" i="8"/>
  <c r="O11" i="8"/>
  <c r="A16" i="8"/>
  <c r="F16" i="8"/>
  <c r="K16" i="8"/>
  <c r="A17" i="8"/>
  <c r="F17" i="8"/>
  <c r="K17" i="8"/>
  <c r="A18" i="8"/>
  <c r="F18" i="8"/>
  <c r="K18" i="8"/>
  <c r="A19" i="8"/>
  <c r="F19" i="8"/>
  <c r="K19" i="8"/>
  <c r="E20" i="8"/>
  <c r="J20" i="8"/>
  <c r="O20" i="8"/>
  <c r="D21" i="8"/>
  <c r="I21" i="8"/>
  <c r="N21" i="8"/>
  <c r="C22" i="8"/>
  <c r="H22" i="8"/>
  <c r="M22" i="8"/>
  <c r="B23" i="8"/>
  <c r="G23" i="8"/>
  <c r="L23" i="8"/>
  <c r="A24" i="8"/>
  <c r="F24" i="8"/>
  <c r="K24" i="8"/>
  <c r="E25" i="8"/>
  <c r="J25" i="8"/>
  <c r="O25" i="8"/>
  <c r="C12" i="9"/>
  <c r="H12" i="9"/>
  <c r="M12" i="9"/>
  <c r="B13" i="9"/>
  <c r="G13" i="9"/>
  <c r="L13" i="9"/>
  <c r="A14" i="9"/>
  <c r="F14" i="9"/>
  <c r="K14" i="9"/>
  <c r="G15" i="9"/>
  <c r="B16" i="9"/>
  <c r="H16" i="9"/>
  <c r="O16" i="9"/>
  <c r="F17" i="9"/>
  <c r="L17" i="9"/>
  <c r="C18" i="9"/>
  <c r="J18" i="9"/>
  <c r="A19" i="9"/>
  <c r="G19" i="9"/>
  <c r="M19" i="9"/>
  <c r="D20" i="9"/>
  <c r="J20" i="9"/>
  <c r="N21" i="9"/>
  <c r="C23" i="9"/>
  <c r="K23" i="9"/>
  <c r="M6" i="10"/>
  <c r="F7" i="10"/>
  <c r="C8" i="10"/>
  <c r="K8" i="10"/>
  <c r="H10" i="10"/>
  <c r="E11" i="10"/>
  <c r="N11" i="10"/>
  <c r="A16" i="10"/>
  <c r="J16" i="10"/>
  <c r="D17" i="10"/>
  <c r="K17" i="10"/>
  <c r="E18" i="10"/>
  <c r="N18" i="10"/>
  <c r="F19" i="10"/>
  <c r="O19" i="10"/>
  <c r="H20" i="10"/>
  <c r="O20" i="10"/>
  <c r="H21" i="10"/>
  <c r="A22" i="10"/>
  <c r="I22" i="10"/>
  <c r="C23" i="10"/>
  <c r="M23" i="10"/>
  <c r="M7" i="11"/>
  <c r="L8" i="11"/>
  <c r="L9" i="11"/>
  <c r="B11" i="11"/>
  <c r="C15" i="11"/>
  <c r="K17" i="11"/>
  <c r="N12" i="12"/>
  <c r="H18" i="7"/>
  <c r="M18" i="7"/>
  <c r="C19" i="7"/>
  <c r="H19" i="7"/>
  <c r="M19" i="7"/>
  <c r="B20" i="7"/>
  <c r="G20" i="7"/>
  <c r="L20" i="7"/>
  <c r="A21" i="7"/>
  <c r="F21" i="7"/>
  <c r="K21" i="7"/>
  <c r="E22" i="7"/>
  <c r="J22" i="7"/>
  <c r="O22" i="7"/>
  <c r="D23" i="7"/>
  <c r="I23" i="7"/>
  <c r="N23" i="7"/>
  <c r="C24" i="7"/>
  <c r="H24" i="7"/>
  <c r="M24" i="7"/>
  <c r="B25" i="7"/>
  <c r="G25" i="7"/>
  <c r="L25" i="7"/>
  <c r="E12" i="8"/>
  <c r="J12" i="8"/>
  <c r="O12" i="8"/>
  <c r="D13" i="8"/>
  <c r="I13" i="8"/>
  <c r="N13" i="8"/>
  <c r="C14" i="8"/>
  <c r="H14" i="8"/>
  <c r="M14" i="8"/>
  <c r="C15" i="8"/>
  <c r="H15" i="8"/>
  <c r="M15" i="8"/>
  <c r="C6" i="9"/>
  <c r="H6" i="9"/>
  <c r="M6" i="9"/>
  <c r="C7" i="9"/>
  <c r="H7" i="9"/>
  <c r="M7" i="9"/>
  <c r="B8" i="9"/>
  <c r="G8" i="9"/>
  <c r="L8" i="9"/>
  <c r="A9" i="9"/>
  <c r="F9" i="9"/>
  <c r="K9" i="9"/>
  <c r="E10" i="9"/>
  <c r="J10" i="9"/>
  <c r="O10" i="9"/>
  <c r="D11" i="9"/>
  <c r="I11" i="9"/>
  <c r="N11" i="9"/>
  <c r="B15" i="9"/>
  <c r="M15" i="9"/>
  <c r="H21" i="9"/>
  <c r="M22" i="9"/>
  <c r="B24" i="9"/>
  <c r="J24" i="9"/>
  <c r="O25" i="9"/>
  <c r="G6" i="10"/>
  <c r="M7" i="10"/>
  <c r="E8" i="10"/>
  <c r="B9" i="10"/>
  <c r="J9" i="10"/>
  <c r="O10" i="10"/>
  <c r="G11" i="10"/>
  <c r="H12" i="10"/>
  <c r="H13" i="10"/>
  <c r="A14" i="10"/>
  <c r="B15" i="10"/>
  <c r="K15" i="10"/>
  <c r="C16" i="10"/>
  <c r="M17" i="10"/>
  <c r="H19" i="10"/>
  <c r="A21" i="10"/>
  <c r="K22" i="10"/>
  <c r="G24" i="10"/>
  <c r="O24" i="10"/>
  <c r="I25" i="10"/>
  <c r="E6" i="11"/>
  <c r="B7" i="11"/>
  <c r="M8" i="11"/>
  <c r="M9" i="11"/>
  <c r="J20" i="11"/>
  <c r="C23" i="11"/>
  <c r="G10" i="8"/>
  <c r="L10" i="8"/>
  <c r="A11" i="8"/>
  <c r="F11" i="8"/>
  <c r="K11" i="8"/>
  <c r="B16" i="8"/>
  <c r="G16" i="8"/>
  <c r="L16" i="8"/>
  <c r="B17" i="8"/>
  <c r="G17" i="8"/>
  <c r="L17" i="8"/>
  <c r="B18" i="8"/>
  <c r="G18" i="8"/>
  <c r="L18" i="8"/>
  <c r="B19" i="8"/>
  <c r="G19" i="8"/>
  <c r="L19" i="8"/>
  <c r="A20" i="8"/>
  <c r="F20" i="8"/>
  <c r="K20" i="8"/>
  <c r="E21" i="8"/>
  <c r="J21" i="8"/>
  <c r="O21" i="8"/>
  <c r="D22" i="8"/>
  <c r="I22" i="8"/>
  <c r="N22" i="8"/>
  <c r="C23" i="8"/>
  <c r="H23" i="8"/>
  <c r="M23" i="8"/>
  <c r="B24" i="8"/>
  <c r="G24" i="8"/>
  <c r="L24" i="8"/>
  <c r="A25" i="8"/>
  <c r="T15" i="8" s="1"/>
  <c r="F25" i="8"/>
  <c r="K25" i="8"/>
  <c r="D12" i="9"/>
  <c r="I12" i="9"/>
  <c r="N12" i="9"/>
  <c r="C13" i="9"/>
  <c r="H13" i="9"/>
  <c r="M13" i="9"/>
  <c r="B14" i="9"/>
  <c r="G14" i="9"/>
  <c r="L14" i="9"/>
  <c r="H15" i="9"/>
  <c r="C16" i="9"/>
  <c r="J16" i="9"/>
  <c r="A17" i="9"/>
  <c r="G17" i="9"/>
  <c r="M17" i="9"/>
  <c r="E18" i="9"/>
  <c r="K18" i="9"/>
  <c r="B19" i="9"/>
  <c r="H19" i="9"/>
  <c r="O19" i="9"/>
  <c r="E20" i="9"/>
  <c r="K20" i="9"/>
  <c r="A21" i="9"/>
  <c r="O21" i="9"/>
  <c r="G22" i="9"/>
  <c r="L23" i="9"/>
  <c r="A25" i="9"/>
  <c r="T15" i="9" s="1"/>
  <c r="I25" i="9"/>
  <c r="A6" i="10"/>
  <c r="N6" i="10"/>
  <c r="G7" i="10"/>
  <c r="L8" i="10"/>
  <c r="D9" i="10"/>
  <c r="A10" i="10"/>
  <c r="I10" i="10"/>
  <c r="H11" i="10"/>
  <c r="O11" i="10"/>
  <c r="D16" i="10"/>
  <c r="K16" i="10"/>
  <c r="E17" i="10"/>
  <c r="N17" i="10"/>
  <c r="F18" i="10"/>
  <c r="O18" i="10"/>
  <c r="I19" i="10"/>
  <c r="I20" i="10"/>
  <c r="B21" i="10"/>
  <c r="I21" i="10"/>
  <c r="B22" i="10"/>
  <c r="L22" i="10"/>
  <c r="D23" i="10"/>
  <c r="N23" i="10"/>
  <c r="H24" i="10"/>
  <c r="C7" i="11"/>
  <c r="B8" i="11"/>
  <c r="A9" i="11"/>
  <c r="O9" i="11"/>
  <c r="H11" i="11"/>
  <c r="L15" i="11"/>
  <c r="E18" i="11"/>
  <c r="M20" i="11"/>
  <c r="B6" i="12"/>
  <c r="B12" i="10"/>
  <c r="G12" i="10"/>
  <c r="L12" i="10"/>
  <c r="A13" i="10"/>
  <c r="F13" i="10"/>
  <c r="K13" i="10"/>
  <c r="E14" i="10"/>
  <c r="J14" i="10"/>
  <c r="O14" i="10"/>
  <c r="E15" i="10"/>
  <c r="J15" i="10"/>
  <c r="O15" i="10"/>
  <c r="F22" i="10"/>
  <c r="A23" i="10"/>
  <c r="B24" i="10"/>
  <c r="M24" i="10"/>
  <c r="H25" i="10"/>
  <c r="B6" i="11"/>
  <c r="A7" i="11"/>
  <c r="A8" i="11"/>
  <c r="I11" i="11"/>
  <c r="H14" i="11"/>
  <c r="B15" i="11"/>
  <c r="I15" i="11"/>
  <c r="J17" i="11"/>
  <c r="B18" i="11"/>
  <c r="K18" i="11"/>
  <c r="C19" i="11"/>
  <c r="L19" i="11"/>
  <c r="C20" i="11"/>
  <c r="L20" i="11"/>
  <c r="K23" i="11"/>
  <c r="K24" i="11"/>
  <c r="B25" i="11"/>
  <c r="K25" i="11"/>
  <c r="A9" i="12"/>
  <c r="N10" i="12"/>
  <c r="N11" i="12"/>
  <c r="B13" i="12"/>
  <c r="C14" i="12"/>
  <c r="A13" i="11"/>
  <c r="J13" i="11"/>
  <c r="J14" i="11"/>
  <c r="B16" i="11"/>
  <c r="I16" i="11"/>
  <c r="C17" i="11"/>
  <c r="D18" i="11"/>
  <c r="D20" i="11"/>
  <c r="D21" i="11"/>
  <c r="M21" i="11"/>
  <c r="D22" i="11"/>
  <c r="K22" i="11"/>
  <c r="D23" i="11"/>
  <c r="D24" i="11"/>
  <c r="E6" i="12"/>
  <c r="M6" i="12"/>
  <c r="H7" i="12"/>
  <c r="C8" i="12"/>
  <c r="O10" i="12"/>
  <c r="O11" i="12"/>
  <c r="C13" i="12"/>
  <c r="G14" i="12"/>
  <c r="L24" i="11"/>
  <c r="E25" i="11"/>
  <c r="L25" i="11"/>
  <c r="F6" i="12"/>
  <c r="A7" i="12"/>
  <c r="B9" i="12"/>
  <c r="H14" i="12"/>
  <c r="H16" i="12"/>
  <c r="C10" i="11"/>
  <c r="C11" i="11"/>
  <c r="D12" i="11"/>
  <c r="K12" i="11"/>
  <c r="D13" i="11"/>
  <c r="K13" i="11"/>
  <c r="C16" i="11"/>
  <c r="L16" i="11"/>
  <c r="D17" i="11"/>
  <c r="N20" i="11"/>
  <c r="E21" i="11"/>
  <c r="N21" i="11"/>
  <c r="E22" i="11"/>
  <c r="N22" i="11"/>
  <c r="E23" i="11"/>
  <c r="N23" i="11"/>
  <c r="I7" i="12"/>
  <c r="E8" i="12"/>
  <c r="A10" i="12"/>
  <c r="K14" i="12"/>
  <c r="M16" i="12"/>
  <c r="D11" i="11"/>
  <c r="K11" i="11"/>
  <c r="L14" i="11"/>
  <c r="D15" i="11"/>
  <c r="M15" i="11"/>
  <c r="E17" i="11"/>
  <c r="F18" i="11"/>
  <c r="M18" i="11"/>
  <c r="G19" i="11"/>
  <c r="N19" i="11"/>
  <c r="G20" i="11"/>
  <c r="G21" i="11"/>
  <c r="F23" i="11"/>
  <c r="F24" i="11"/>
  <c r="O24" i="11"/>
  <c r="F25" i="11"/>
  <c r="M25" i="11"/>
  <c r="G6" i="12"/>
  <c r="B7" i="12"/>
  <c r="E9" i="12"/>
  <c r="C10" i="12"/>
  <c r="E12" i="12"/>
  <c r="O16" i="12"/>
  <c r="M10" i="11"/>
  <c r="M11" i="11"/>
  <c r="E12" i="11"/>
  <c r="L12" i="11"/>
  <c r="E13" i="11"/>
  <c r="E14" i="11"/>
  <c r="D16" i="11"/>
  <c r="M16" i="11"/>
  <c r="N17" i="11"/>
  <c r="O19" i="11"/>
  <c r="O20" i="11"/>
  <c r="H21" i="11"/>
  <c r="O21" i="11"/>
  <c r="H22" i="11"/>
  <c r="O22" i="11"/>
  <c r="O23" i="11"/>
  <c r="M7" i="12"/>
  <c r="J8" i="12"/>
  <c r="F10" i="12"/>
  <c r="A15" i="12"/>
  <c r="E17" i="12"/>
  <c r="F21" i="9"/>
  <c r="K21" i="9"/>
  <c r="E22" i="9"/>
  <c r="J22" i="9"/>
  <c r="O22" i="9"/>
  <c r="D23" i="9"/>
  <c r="I23" i="9"/>
  <c r="N23" i="9"/>
  <c r="C24" i="9"/>
  <c r="H24" i="9"/>
  <c r="M24" i="9"/>
  <c r="B25" i="9"/>
  <c r="G25" i="9"/>
  <c r="L25" i="9"/>
  <c r="E12" i="10"/>
  <c r="J12" i="10"/>
  <c r="O12" i="10"/>
  <c r="D13" i="10"/>
  <c r="I13" i="10"/>
  <c r="N13" i="10"/>
  <c r="C14" i="10"/>
  <c r="H14" i="10"/>
  <c r="M14" i="10"/>
  <c r="C15" i="10"/>
  <c r="H15" i="10"/>
  <c r="M15" i="10"/>
  <c r="D22" i="10"/>
  <c r="O22" i="10"/>
  <c r="J23" i="10"/>
  <c r="E24" i="10"/>
  <c r="F25" i="10"/>
  <c r="F6" i="11"/>
  <c r="M6" i="11"/>
  <c r="F7" i="11"/>
  <c r="F8" i="11"/>
  <c r="E10" i="11"/>
  <c r="E11" i="11"/>
  <c r="N11" i="11"/>
  <c r="M13" i="11"/>
  <c r="M14" i="11"/>
  <c r="G15" i="11"/>
  <c r="N15" i="11"/>
  <c r="F17" i="11"/>
  <c r="O17" i="11"/>
  <c r="G18" i="11"/>
  <c r="A19" i="11"/>
  <c r="H19" i="11"/>
  <c r="A20" i="11"/>
  <c r="H20" i="11"/>
  <c r="G24" i="11"/>
  <c r="G25" i="11"/>
  <c r="J6" i="12"/>
  <c r="C7" i="12"/>
  <c r="K8" i="12"/>
  <c r="I9" i="12"/>
  <c r="G11" i="12"/>
  <c r="J12" i="12"/>
  <c r="O14" i="9"/>
  <c r="E15" i="9"/>
  <c r="J15" i="9"/>
  <c r="O15" i="9"/>
  <c r="E6" i="10"/>
  <c r="J6" i="10"/>
  <c r="O6" i="10"/>
  <c r="E7" i="10"/>
  <c r="J7" i="10"/>
  <c r="O7" i="10"/>
  <c r="D8" i="10"/>
  <c r="I8" i="10"/>
  <c r="N8" i="10"/>
  <c r="C9" i="10"/>
  <c r="H9" i="10"/>
  <c r="M9" i="10"/>
  <c r="B10" i="10"/>
  <c r="G10" i="10"/>
  <c r="L10" i="10"/>
  <c r="A11" i="10"/>
  <c r="F11" i="10"/>
  <c r="K11" i="10"/>
  <c r="B16" i="10"/>
  <c r="G16" i="10"/>
  <c r="L16" i="10"/>
  <c r="B17" i="10"/>
  <c r="G17" i="10"/>
  <c r="L17" i="10"/>
  <c r="B18" i="10"/>
  <c r="G18" i="10"/>
  <c r="L18" i="10"/>
  <c r="B19" i="10"/>
  <c r="G19" i="10"/>
  <c r="L19" i="10"/>
  <c r="A20" i="10"/>
  <c r="F20" i="10"/>
  <c r="K20" i="10"/>
  <c r="E21" i="10"/>
  <c r="J21" i="10"/>
  <c r="O21" i="10"/>
  <c r="J22" i="10"/>
  <c r="E23" i="10"/>
  <c r="A25" i="10"/>
  <c r="T15" i="10" s="1"/>
  <c r="L25" i="10"/>
  <c r="N7" i="11"/>
  <c r="G8" i="11"/>
  <c r="N8" i="11"/>
  <c r="G9" i="11"/>
  <c r="N9" i="11"/>
  <c r="G10" i="11"/>
  <c r="N10" i="11"/>
  <c r="F12" i="11"/>
  <c r="O12" i="11"/>
  <c r="F13" i="11"/>
  <c r="O13" i="11"/>
  <c r="G16" i="11"/>
  <c r="N16" i="11"/>
  <c r="H17" i="11"/>
  <c r="I20" i="11"/>
  <c r="I21" i="11"/>
  <c r="I22" i="11"/>
  <c r="I23" i="11"/>
  <c r="I24" i="11"/>
  <c r="A6" i="12"/>
  <c r="K6" i="12"/>
  <c r="N7" i="12"/>
  <c r="J9" i="12"/>
  <c r="H10" i="12"/>
  <c r="D16" i="9"/>
  <c r="I16" i="9"/>
  <c r="N16" i="9"/>
  <c r="D17" i="9"/>
  <c r="I17" i="9"/>
  <c r="N17" i="9"/>
  <c r="D18" i="9"/>
  <c r="I18" i="9"/>
  <c r="N18" i="9"/>
  <c r="D19" i="9"/>
  <c r="I19" i="9"/>
  <c r="N19" i="9"/>
  <c r="C20" i="9"/>
  <c r="H20" i="9"/>
  <c r="M20" i="9"/>
  <c r="B21" i="9"/>
  <c r="G21" i="9"/>
  <c r="L21" i="9"/>
  <c r="A22" i="9"/>
  <c r="F22" i="9"/>
  <c r="K22" i="9"/>
  <c r="E23" i="9"/>
  <c r="J23" i="9"/>
  <c r="O23" i="9"/>
  <c r="D24" i="9"/>
  <c r="I24" i="9"/>
  <c r="N24" i="9"/>
  <c r="C25" i="9"/>
  <c r="H25" i="9"/>
  <c r="M25" i="9"/>
  <c r="A12" i="10"/>
  <c r="F12" i="10"/>
  <c r="K12" i="10"/>
  <c r="E13" i="10"/>
  <c r="J13" i="10"/>
  <c r="O13" i="10"/>
  <c r="D14" i="10"/>
  <c r="I14" i="10"/>
  <c r="N14" i="10"/>
  <c r="D15" i="10"/>
  <c r="I15" i="10"/>
  <c r="N15" i="10"/>
  <c r="E22" i="10"/>
  <c r="K23" i="10"/>
  <c r="L24" i="10"/>
  <c r="G25" i="10"/>
  <c r="A6" i="11"/>
  <c r="G6" i="11"/>
  <c r="O6" i="11"/>
  <c r="G7" i="11"/>
  <c r="O10" i="11"/>
  <c r="O11" i="11"/>
  <c r="G14" i="11"/>
  <c r="H15" i="11"/>
  <c r="O15" i="11"/>
  <c r="O16" i="11"/>
  <c r="A18" i="11"/>
  <c r="J18" i="11"/>
  <c r="B19" i="11"/>
  <c r="I19" i="11"/>
  <c r="B20" i="11"/>
  <c r="B21" i="11"/>
  <c r="A23" i="11"/>
  <c r="A24" i="11"/>
  <c r="J24" i="11"/>
  <c r="A25" i="11"/>
  <c r="T15" i="11" s="1"/>
  <c r="J25" i="11"/>
  <c r="L8" i="12"/>
  <c r="I10" i="12"/>
  <c r="L11" i="12"/>
  <c r="M12" i="12"/>
  <c r="D6" i="12"/>
  <c r="O6" i="12"/>
  <c r="F7" i="12"/>
  <c r="L7" i="12"/>
  <c r="B8" i="12"/>
  <c r="G9" i="12"/>
  <c r="O9" i="12"/>
  <c r="M10" i="12"/>
  <c r="D11" i="12"/>
  <c r="C12" i="12"/>
  <c r="H13" i="12"/>
  <c r="M14" i="12"/>
  <c r="F15" i="12"/>
  <c r="D16" i="12"/>
  <c r="C17" i="12"/>
  <c r="J17" i="12"/>
  <c r="A19" i="12"/>
  <c r="J19" i="12"/>
  <c r="C20" i="12"/>
  <c r="O21" i="12"/>
  <c r="H22" i="12"/>
  <c r="D23" i="12"/>
  <c r="L24" i="12"/>
  <c r="M6" i="13"/>
  <c r="J10" i="13"/>
  <c r="M15" i="12"/>
  <c r="K16" i="12"/>
  <c r="D17" i="12"/>
  <c r="C18" i="12"/>
  <c r="J18" i="12"/>
  <c r="K20" i="12"/>
  <c r="E21" i="12"/>
  <c r="B24" i="12"/>
  <c r="O6" i="13"/>
  <c r="G8" i="13"/>
  <c r="E11" i="12"/>
  <c r="M11" i="12"/>
  <c r="D12" i="12"/>
  <c r="I13" i="12"/>
  <c r="A14" i="12"/>
  <c r="G15" i="12"/>
  <c r="E16" i="12"/>
  <c r="K17" i="12"/>
  <c r="D18" i="12"/>
  <c r="D19" i="12"/>
  <c r="K19" i="12"/>
  <c r="D20" i="12"/>
  <c r="N20" i="12"/>
  <c r="B7" i="13"/>
  <c r="M8" i="13"/>
  <c r="C14" i="13"/>
  <c r="K18" i="12"/>
  <c r="F21" i="12"/>
  <c r="M22" i="12"/>
  <c r="G23" i="12"/>
  <c r="C24" i="12"/>
  <c r="A25" i="12"/>
  <c r="T15" i="12" s="1"/>
  <c r="A11" i="13"/>
  <c r="K14" i="13"/>
  <c r="B14" i="12"/>
  <c r="H15" i="12"/>
  <c r="F16" i="12"/>
  <c r="N16" i="12"/>
  <c r="M17" i="12"/>
  <c r="E18" i="12"/>
  <c r="E19" i="12"/>
  <c r="N19" i="12"/>
  <c r="E20" i="12"/>
  <c r="O20" i="12"/>
  <c r="I21" i="12"/>
  <c r="B22" i="12"/>
  <c r="B25" i="12"/>
  <c r="H7" i="13"/>
  <c r="E9" i="13"/>
  <c r="F8" i="12"/>
  <c r="D9" i="12"/>
  <c r="K9" i="12"/>
  <c r="H11" i="12"/>
  <c r="D13" i="12"/>
  <c r="L13" i="12"/>
  <c r="B15" i="12"/>
  <c r="F17" i="12"/>
  <c r="N17" i="12"/>
  <c r="M18" i="12"/>
  <c r="N22" i="12"/>
  <c r="B6" i="13"/>
  <c r="I11" i="13"/>
  <c r="F18" i="12"/>
  <c r="N18" i="12"/>
  <c r="F19" i="12"/>
  <c r="O19" i="12"/>
  <c r="H20" i="12"/>
  <c r="J21" i="12"/>
  <c r="E22" i="12"/>
  <c r="L23" i="12"/>
  <c r="H24" i="12"/>
  <c r="O11" i="13"/>
  <c r="I7" i="11"/>
  <c r="D8" i="11"/>
  <c r="O8" i="11"/>
  <c r="J9" i="11"/>
  <c r="K10" i="11"/>
  <c r="F11" i="11"/>
  <c r="G12" i="11"/>
  <c r="H13" i="11"/>
  <c r="C14" i="11"/>
  <c r="N14" i="11"/>
  <c r="J15" i="11"/>
  <c r="E16" i="11"/>
  <c r="A17" i="11"/>
  <c r="L17" i="11"/>
  <c r="H18" i="11"/>
  <c r="D19" i="11"/>
  <c r="J19" i="11"/>
  <c r="E20" i="11"/>
  <c r="K21" i="11"/>
  <c r="F22" i="11"/>
  <c r="L22" i="11"/>
  <c r="G23" i="11"/>
  <c r="B24" i="11"/>
  <c r="M24" i="11"/>
  <c r="H25" i="11"/>
  <c r="N25" i="11"/>
  <c r="H6" i="12"/>
  <c r="D7" i="12"/>
  <c r="G8" i="12"/>
  <c r="L9" i="12"/>
  <c r="D10" i="12"/>
  <c r="B11" i="12"/>
  <c r="I11" i="12"/>
  <c r="H12" i="12"/>
  <c r="M13" i="12"/>
  <c r="C15" i="12"/>
  <c r="K15" i="12"/>
  <c r="A16" i="12"/>
  <c r="I16" i="12"/>
  <c r="H17" i="12"/>
  <c r="O17" i="12"/>
  <c r="I20" i="12"/>
  <c r="O22" i="12"/>
  <c r="E6" i="13"/>
  <c r="L9" i="13"/>
  <c r="H6" i="11"/>
  <c r="D7" i="11"/>
  <c r="O7" i="11"/>
  <c r="J8" i="11"/>
  <c r="E9" i="11"/>
  <c r="K9" i="11"/>
  <c r="F10" i="11"/>
  <c r="A11" i="11"/>
  <c r="L11" i="11"/>
  <c r="B12" i="11"/>
  <c r="C13" i="11"/>
  <c r="N13" i="11"/>
  <c r="I14" i="11"/>
  <c r="E15" i="11"/>
  <c r="K16" i="11"/>
  <c r="G17" i="11"/>
  <c r="C18" i="11"/>
  <c r="N18" i="11"/>
  <c r="E19" i="11"/>
  <c r="K20" i="11"/>
  <c r="F21" i="11"/>
  <c r="A22" i="11"/>
  <c r="G22" i="11"/>
  <c r="B23" i="11"/>
  <c r="M23" i="11"/>
  <c r="H24" i="11"/>
  <c r="C25" i="11"/>
  <c r="I25" i="11"/>
  <c r="C6" i="12"/>
  <c r="N6" i="12"/>
  <c r="J7" i="12"/>
  <c r="A8" i="12"/>
  <c r="O8" i="12"/>
  <c r="F9" i="12"/>
  <c r="K10" i="12"/>
  <c r="C11" i="12"/>
  <c r="O12" i="12"/>
  <c r="G13" i="12"/>
  <c r="L14" i="12"/>
  <c r="A17" i="12"/>
  <c r="I17" i="12"/>
  <c r="H18" i="12"/>
  <c r="O18" i="12"/>
  <c r="I19" i="12"/>
  <c r="K21" i="12"/>
  <c r="G22" i="12"/>
  <c r="C23" i="12"/>
  <c r="M23" i="12"/>
  <c r="J25" i="12"/>
  <c r="O7" i="13"/>
  <c r="B10" i="13"/>
  <c r="C17" i="13"/>
  <c r="C22" i="10"/>
  <c r="H22" i="10"/>
  <c r="M22" i="10"/>
  <c r="B23" i="10"/>
  <c r="G23" i="10"/>
  <c r="L23" i="10"/>
  <c r="A24" i="10"/>
  <c r="F24" i="10"/>
  <c r="K24" i="10"/>
  <c r="E25" i="10"/>
  <c r="J25" i="10"/>
  <c r="O25" i="10"/>
  <c r="C6" i="11"/>
  <c r="N6" i="11"/>
  <c r="J7" i="11"/>
  <c r="E8" i="11"/>
  <c r="F9" i="11"/>
  <c r="A10" i="11"/>
  <c r="L10" i="11"/>
  <c r="G11" i="11"/>
  <c r="N12" i="11"/>
  <c r="I13" i="11"/>
  <c r="D14" i="11"/>
  <c r="O14" i="11"/>
  <c r="F16" i="11"/>
  <c r="B17" i="11"/>
  <c r="M17" i="11"/>
  <c r="I18" i="11"/>
  <c r="O18" i="11"/>
  <c r="K19" i="11"/>
  <c r="F20" i="11"/>
  <c r="A21" i="11"/>
  <c r="L21" i="11"/>
  <c r="B22" i="11"/>
  <c r="M22" i="11"/>
  <c r="H23" i="11"/>
  <c r="C24" i="11"/>
  <c r="N24" i="11"/>
  <c r="D25" i="11"/>
  <c r="O25" i="11"/>
  <c r="I6" i="12"/>
  <c r="E7" i="12"/>
  <c r="K7" i="12"/>
  <c r="H8" i="12"/>
  <c r="N9" i="12"/>
  <c r="E10" i="12"/>
  <c r="J11" i="12"/>
  <c r="I12" i="12"/>
  <c r="N13" i="12"/>
  <c r="F14" i="12"/>
  <c r="L15" i="12"/>
  <c r="C16" i="12"/>
  <c r="J16" i="12"/>
  <c r="A18" i="12"/>
  <c r="I18" i="12"/>
  <c r="J20" i="12"/>
  <c r="D21" i="12"/>
  <c r="I6" i="13"/>
  <c r="C8" i="13"/>
  <c r="D10" i="13"/>
  <c r="N12" i="13"/>
  <c r="B12" i="12"/>
  <c r="G12" i="12"/>
  <c r="L12" i="12"/>
  <c r="A13" i="12"/>
  <c r="F13" i="12"/>
  <c r="K13" i="12"/>
  <c r="E14" i="12"/>
  <c r="J14" i="12"/>
  <c r="O14" i="12"/>
  <c r="E15" i="12"/>
  <c r="J15" i="12"/>
  <c r="O15" i="12"/>
  <c r="M20" i="12"/>
  <c r="C21" i="12"/>
  <c r="I23" i="12"/>
  <c r="A24" i="12"/>
  <c r="F25" i="12"/>
  <c r="D7" i="13"/>
  <c r="L7" i="13"/>
  <c r="I8" i="13"/>
  <c r="A9" i="13"/>
  <c r="F10" i="13"/>
  <c r="N10" i="13"/>
  <c r="K11" i="13"/>
  <c r="J12" i="13"/>
  <c r="B13" i="13"/>
  <c r="G14" i="13"/>
  <c r="F16" i="13"/>
  <c r="M16" i="13"/>
  <c r="H17" i="13"/>
  <c r="O20" i="13"/>
  <c r="I21" i="13"/>
  <c r="I22" i="13"/>
  <c r="C23" i="13"/>
  <c r="M24" i="13"/>
  <c r="G25" i="13"/>
  <c r="K8" i="13"/>
  <c r="H9" i="13"/>
  <c r="E11" i="13"/>
  <c r="M11" i="13"/>
  <c r="D12" i="13"/>
  <c r="I13" i="13"/>
  <c r="A14" i="13"/>
  <c r="G15" i="13"/>
  <c r="N15" i="13"/>
  <c r="B18" i="13"/>
  <c r="L18" i="13"/>
  <c r="M19" i="13"/>
  <c r="G20" i="13"/>
  <c r="L23" i="13"/>
  <c r="F24" i="13"/>
  <c r="M6" i="14"/>
  <c r="G25" i="12"/>
  <c r="O25" i="12"/>
  <c r="G6" i="13"/>
  <c r="E7" i="13"/>
  <c r="M7" i="13"/>
  <c r="B9" i="13"/>
  <c r="J9" i="13"/>
  <c r="G10" i="13"/>
  <c r="O10" i="13"/>
  <c r="C13" i="13"/>
  <c r="H14" i="13"/>
  <c r="A15" i="13"/>
  <c r="G16" i="13"/>
  <c r="F19" i="13"/>
  <c r="J21" i="13"/>
  <c r="D23" i="13"/>
  <c r="N23" i="13"/>
  <c r="N6" i="13"/>
  <c r="G7" i="13"/>
  <c r="D8" i="13"/>
  <c r="L8" i="13"/>
  <c r="A10" i="13"/>
  <c r="I10" i="13"/>
  <c r="F11" i="13"/>
  <c r="N11" i="13"/>
  <c r="E12" i="13"/>
  <c r="M12" i="13"/>
  <c r="B14" i="13"/>
  <c r="H15" i="13"/>
  <c r="B17" i="13"/>
  <c r="C18" i="13"/>
  <c r="M18" i="13"/>
  <c r="C22" i="13"/>
  <c r="M22" i="13"/>
  <c r="G24" i="13"/>
  <c r="A25" i="13"/>
  <c r="T15" i="13" s="1"/>
  <c r="D7" i="14"/>
  <c r="K24" i="12"/>
  <c r="H6" i="13"/>
  <c r="N7" i="13"/>
  <c r="F8" i="13"/>
  <c r="C9" i="13"/>
  <c r="K9" i="13"/>
  <c r="H11" i="13"/>
  <c r="D13" i="13"/>
  <c r="L13" i="13"/>
  <c r="B15" i="13"/>
  <c r="A16" i="13"/>
  <c r="H16" i="13"/>
  <c r="K17" i="13"/>
  <c r="F18" i="13"/>
  <c r="G19" i="13"/>
  <c r="A20" i="13"/>
  <c r="K21" i="13"/>
  <c r="E22" i="13"/>
  <c r="J25" i="13"/>
  <c r="J20" i="13"/>
  <c r="D21" i="13"/>
  <c r="N22" i="13"/>
  <c r="H23" i="13"/>
  <c r="H24" i="13"/>
  <c r="B25" i="13"/>
  <c r="L7" i="14"/>
  <c r="H12" i="13"/>
  <c r="M13" i="13"/>
  <c r="C15" i="13"/>
  <c r="K15" i="13"/>
  <c r="B16" i="13"/>
  <c r="K16" i="13"/>
  <c r="L17" i="13"/>
  <c r="G18" i="13"/>
  <c r="B20" i="13"/>
  <c r="L20" i="13"/>
  <c r="A24" i="13"/>
  <c r="K24" i="13"/>
  <c r="K25" i="13"/>
  <c r="D8" i="12"/>
  <c r="I8" i="12"/>
  <c r="N8" i="12"/>
  <c r="C9" i="12"/>
  <c r="H9" i="12"/>
  <c r="M9" i="12"/>
  <c r="B10" i="12"/>
  <c r="G10" i="12"/>
  <c r="L10" i="12"/>
  <c r="A11" i="12"/>
  <c r="F11" i="12"/>
  <c r="K11" i="12"/>
  <c r="B16" i="12"/>
  <c r="G16" i="12"/>
  <c r="L16" i="12"/>
  <c r="B17" i="12"/>
  <c r="G17" i="12"/>
  <c r="L17" i="12"/>
  <c r="B18" i="12"/>
  <c r="G18" i="12"/>
  <c r="L18" i="12"/>
  <c r="B19" i="12"/>
  <c r="G19" i="12"/>
  <c r="L19" i="12"/>
  <c r="A20" i="12"/>
  <c r="F20" i="12"/>
  <c r="A21" i="12"/>
  <c r="M21" i="12"/>
  <c r="C22" i="12"/>
  <c r="I22" i="12"/>
  <c r="N23" i="12"/>
  <c r="F24" i="12"/>
  <c r="K25" i="12"/>
  <c r="C6" i="13"/>
  <c r="I7" i="13"/>
  <c r="A8" i="13"/>
  <c r="N8" i="13"/>
  <c r="F9" i="13"/>
  <c r="K10" i="13"/>
  <c r="C11" i="13"/>
  <c r="O12" i="13"/>
  <c r="G13" i="13"/>
  <c r="L14" i="13"/>
  <c r="L15" i="13"/>
  <c r="A19" i="13"/>
  <c r="K19" i="13"/>
  <c r="E21" i="13"/>
  <c r="O21" i="13"/>
  <c r="O22" i="13"/>
  <c r="I23" i="13"/>
  <c r="C12" i="11"/>
  <c r="H12" i="11"/>
  <c r="M12" i="11"/>
  <c r="B13" i="11"/>
  <c r="G13" i="11"/>
  <c r="L13" i="11"/>
  <c r="A14" i="11"/>
  <c r="F14" i="11"/>
  <c r="K14" i="11"/>
  <c r="A15" i="11"/>
  <c r="F15" i="11"/>
  <c r="K15" i="11"/>
  <c r="A12" i="12"/>
  <c r="F12" i="12"/>
  <c r="K12" i="12"/>
  <c r="E13" i="12"/>
  <c r="J13" i="12"/>
  <c r="O13" i="12"/>
  <c r="D14" i="12"/>
  <c r="I14" i="12"/>
  <c r="N14" i="12"/>
  <c r="D15" i="12"/>
  <c r="I15" i="12"/>
  <c r="N15" i="12"/>
  <c r="L20" i="12"/>
  <c r="G21" i="12"/>
  <c r="H23" i="12"/>
  <c r="M24" i="12"/>
  <c r="E25" i="12"/>
  <c r="J6" i="13"/>
  <c r="C7" i="13"/>
  <c r="H8" i="13"/>
  <c r="M9" i="13"/>
  <c r="E10" i="13"/>
  <c r="J11" i="13"/>
  <c r="I12" i="13"/>
  <c r="N13" i="13"/>
  <c r="F14" i="13"/>
  <c r="C16" i="13"/>
  <c r="L16" i="13"/>
  <c r="H18" i="13"/>
  <c r="C19" i="13"/>
  <c r="H22" i="13"/>
  <c r="B23" i="13"/>
  <c r="B24" i="13"/>
  <c r="L24" i="13"/>
  <c r="E6" i="14"/>
  <c r="I8" i="14"/>
  <c r="C19" i="12"/>
  <c r="H19" i="12"/>
  <c r="M19" i="12"/>
  <c r="B20" i="12"/>
  <c r="G20" i="12"/>
  <c r="B21" i="12"/>
  <c r="H21" i="12"/>
  <c r="N21" i="12"/>
  <c r="D22" i="12"/>
  <c r="J22" i="12"/>
  <c r="B23" i="12"/>
  <c r="G24" i="12"/>
  <c r="L25" i="12"/>
  <c r="D6" i="13"/>
  <c r="L6" i="13"/>
  <c r="J7" i="13"/>
  <c r="B8" i="13"/>
  <c r="G9" i="13"/>
  <c r="O9" i="13"/>
  <c r="L10" i="13"/>
  <c r="D11" i="13"/>
  <c r="C12" i="13"/>
  <c r="H13" i="13"/>
  <c r="M14" i="13"/>
  <c r="F15" i="13"/>
  <c r="M15" i="13"/>
  <c r="F17" i="13"/>
  <c r="A18" i="13"/>
  <c r="L19" i="13"/>
  <c r="F20" i="13"/>
  <c r="F21" i="13"/>
  <c r="E25" i="13"/>
  <c r="O25" i="13"/>
  <c r="G6" i="14"/>
  <c r="A9" i="14"/>
  <c r="D6" i="14"/>
  <c r="L6" i="14"/>
  <c r="J7" i="14"/>
  <c r="B8" i="14"/>
  <c r="G9" i="14"/>
  <c r="O9" i="14"/>
  <c r="L10" i="14"/>
  <c r="D11" i="14"/>
  <c r="C12" i="14"/>
  <c r="M12" i="14"/>
  <c r="A17" i="14"/>
  <c r="B18" i="14"/>
  <c r="E19" i="14"/>
  <c r="F20" i="14"/>
  <c r="H23" i="14"/>
  <c r="F10" i="14"/>
  <c r="N10" i="14"/>
  <c r="K11" i="14"/>
  <c r="A16" i="14"/>
  <c r="B17" i="14"/>
  <c r="E18" i="14"/>
  <c r="F19" i="14"/>
  <c r="K20" i="14"/>
  <c r="C8" i="14"/>
  <c r="K8" i="14"/>
  <c r="H9" i="14"/>
  <c r="E11" i="14"/>
  <c r="M11" i="14"/>
  <c r="B16" i="14"/>
  <c r="E17" i="14"/>
  <c r="F18" i="14"/>
  <c r="G19" i="14"/>
  <c r="E7" i="14"/>
  <c r="M7" i="14"/>
  <c r="B9" i="14"/>
  <c r="J9" i="14"/>
  <c r="G10" i="14"/>
  <c r="O10" i="14"/>
  <c r="E16" i="14"/>
  <c r="F17" i="14"/>
  <c r="G18" i="14"/>
  <c r="J19" i="14"/>
  <c r="E21" i="14"/>
  <c r="N6" i="14"/>
  <c r="G7" i="14"/>
  <c r="D8" i="14"/>
  <c r="L8" i="14"/>
  <c r="A10" i="14"/>
  <c r="I10" i="14"/>
  <c r="F11" i="14"/>
  <c r="N11" i="14"/>
  <c r="F16" i="14"/>
  <c r="G17" i="14"/>
  <c r="J18" i="14"/>
  <c r="K19" i="14"/>
  <c r="J21" i="14"/>
  <c r="H6" i="14"/>
  <c r="N7" i="14"/>
  <c r="F8" i="14"/>
  <c r="C9" i="14"/>
  <c r="K9" i="14"/>
  <c r="H11" i="14"/>
  <c r="H12" i="14"/>
  <c r="G16" i="14"/>
  <c r="J17" i="14"/>
  <c r="K18" i="14"/>
  <c r="L19" i="14"/>
  <c r="O21" i="14"/>
  <c r="B6" i="14"/>
  <c r="O6" i="14"/>
  <c r="H7" i="14"/>
  <c r="M8" i="14"/>
  <c r="E9" i="14"/>
  <c r="B10" i="14"/>
  <c r="J10" i="14"/>
  <c r="O11" i="14"/>
  <c r="J16" i="14"/>
  <c r="K17" i="14"/>
  <c r="L18" i="14"/>
  <c r="O19" i="14"/>
  <c r="D22" i="14"/>
  <c r="L21" i="12"/>
  <c r="A22" i="12"/>
  <c r="F22" i="12"/>
  <c r="K22" i="12"/>
  <c r="E23" i="12"/>
  <c r="J23" i="12"/>
  <c r="O23" i="12"/>
  <c r="D24" i="12"/>
  <c r="I24" i="12"/>
  <c r="N24" i="12"/>
  <c r="C25" i="12"/>
  <c r="H25" i="12"/>
  <c r="M25" i="12"/>
  <c r="A12" i="13"/>
  <c r="F12" i="13"/>
  <c r="K12" i="13"/>
  <c r="E13" i="13"/>
  <c r="J13" i="13"/>
  <c r="O13" i="13"/>
  <c r="D14" i="13"/>
  <c r="I14" i="13"/>
  <c r="N14" i="13"/>
  <c r="D15" i="13"/>
  <c r="I15" i="13"/>
  <c r="I16" i="13"/>
  <c r="I6" i="14"/>
  <c r="B7" i="14"/>
  <c r="O7" i="14"/>
  <c r="G8" i="14"/>
  <c r="L9" i="14"/>
  <c r="D10" i="14"/>
  <c r="A11" i="14"/>
  <c r="I11" i="14"/>
  <c r="K16" i="14"/>
  <c r="L17" i="14"/>
  <c r="O18" i="14"/>
  <c r="I22" i="14"/>
  <c r="A6" i="13"/>
  <c r="F6" i="13"/>
  <c r="K6" i="13"/>
  <c r="A7" i="13"/>
  <c r="F7" i="13"/>
  <c r="K7" i="13"/>
  <c r="E8" i="13"/>
  <c r="J8" i="13"/>
  <c r="O8" i="13"/>
  <c r="D9" i="13"/>
  <c r="I9" i="13"/>
  <c r="N9" i="13"/>
  <c r="C10" i="13"/>
  <c r="H10" i="13"/>
  <c r="M10" i="13"/>
  <c r="B11" i="13"/>
  <c r="G11" i="13"/>
  <c r="L11" i="13"/>
  <c r="O15" i="13"/>
  <c r="D16" i="13"/>
  <c r="A17" i="13"/>
  <c r="G17" i="13"/>
  <c r="M17" i="13"/>
  <c r="K18" i="13"/>
  <c r="B19" i="13"/>
  <c r="H19" i="13"/>
  <c r="E20" i="13"/>
  <c r="K20" i="13"/>
  <c r="A21" i="13"/>
  <c r="N21" i="13"/>
  <c r="D22" i="13"/>
  <c r="J22" i="13"/>
  <c r="G23" i="13"/>
  <c r="M23" i="13"/>
  <c r="C24" i="13"/>
  <c r="F25" i="13"/>
  <c r="L25" i="13"/>
  <c r="C6" i="14"/>
  <c r="I7" i="14"/>
  <c r="A8" i="14"/>
  <c r="N8" i="14"/>
  <c r="F9" i="14"/>
  <c r="K10" i="14"/>
  <c r="C11" i="14"/>
  <c r="L16" i="14"/>
  <c r="O17" i="14"/>
  <c r="A19" i="14"/>
  <c r="A20" i="14"/>
  <c r="N22" i="14"/>
  <c r="L22" i="12"/>
  <c r="A23" i="12"/>
  <c r="F23" i="12"/>
  <c r="K23" i="12"/>
  <c r="E24" i="12"/>
  <c r="J24" i="12"/>
  <c r="O24" i="12"/>
  <c r="D25" i="12"/>
  <c r="I25" i="12"/>
  <c r="N25" i="12"/>
  <c r="B12" i="13"/>
  <c r="G12" i="13"/>
  <c r="L12" i="13"/>
  <c r="A13" i="13"/>
  <c r="F13" i="13"/>
  <c r="K13" i="13"/>
  <c r="E14" i="13"/>
  <c r="J14" i="13"/>
  <c r="O14" i="13"/>
  <c r="E15" i="13"/>
  <c r="J15" i="13"/>
  <c r="J6" i="14"/>
  <c r="C7" i="14"/>
  <c r="H8" i="14"/>
  <c r="M9" i="14"/>
  <c r="E10" i="14"/>
  <c r="J11" i="14"/>
  <c r="O16" i="14"/>
  <c r="A18" i="14"/>
  <c r="B19" i="14"/>
  <c r="D20" i="14"/>
  <c r="C23" i="14"/>
  <c r="D16" i="14"/>
  <c r="I16" i="14"/>
  <c r="N16" i="14"/>
  <c r="D17" i="14"/>
  <c r="I17" i="14"/>
  <c r="N17" i="14"/>
  <c r="D18" i="14"/>
  <c r="I18" i="14"/>
  <c r="N18" i="14"/>
  <c r="D19" i="14"/>
  <c r="I19" i="14"/>
  <c r="N19" i="14"/>
  <c r="C20" i="14"/>
  <c r="H20" i="14"/>
  <c r="M20" i="14"/>
  <c r="B21" i="14"/>
  <c r="G21" i="14"/>
  <c r="L21" i="14"/>
  <c r="A22" i="14"/>
  <c r="F22" i="14"/>
  <c r="K22" i="14"/>
  <c r="E23" i="14"/>
  <c r="J23" i="14"/>
  <c r="O23" i="14"/>
  <c r="D24" i="14"/>
  <c r="I24" i="14"/>
  <c r="N24" i="14"/>
  <c r="C25" i="14"/>
  <c r="H25" i="14"/>
  <c r="M25" i="14"/>
  <c r="B13" i="14"/>
  <c r="G13" i="14"/>
  <c r="L13" i="14"/>
  <c r="A14" i="14"/>
  <c r="F14" i="14"/>
  <c r="K14" i="14"/>
  <c r="A15" i="14"/>
  <c r="F15" i="14"/>
  <c r="K15" i="14"/>
  <c r="I20" i="14"/>
  <c r="N20" i="14"/>
  <c r="C21" i="14"/>
  <c r="H21" i="14"/>
  <c r="M21" i="14"/>
  <c r="B22" i="14"/>
  <c r="G22" i="14"/>
  <c r="L22" i="14"/>
  <c r="A23" i="14"/>
  <c r="F23" i="14"/>
  <c r="K23" i="14"/>
  <c r="E24" i="14"/>
  <c r="J24" i="14"/>
  <c r="O24" i="14"/>
  <c r="D25" i="14"/>
  <c r="I25" i="14"/>
  <c r="N25" i="14"/>
  <c r="D12" i="14"/>
  <c r="I12" i="14"/>
  <c r="N12" i="14"/>
  <c r="C13" i="14"/>
  <c r="H13" i="14"/>
  <c r="M13" i="14"/>
  <c r="B14" i="14"/>
  <c r="G14" i="14"/>
  <c r="L14" i="14"/>
  <c r="B15" i="14"/>
  <c r="G15" i="14"/>
  <c r="L15" i="14"/>
  <c r="E20" i="14"/>
  <c r="J20" i="14"/>
  <c r="O20" i="14"/>
  <c r="D21" i="14"/>
  <c r="I21" i="14"/>
  <c r="N21" i="14"/>
  <c r="C22" i="14"/>
  <c r="H22" i="14"/>
  <c r="M22" i="14"/>
  <c r="B23" i="14"/>
  <c r="G23" i="14"/>
  <c r="L23" i="14"/>
  <c r="A24" i="14"/>
  <c r="F24" i="14"/>
  <c r="K24" i="14"/>
  <c r="E25" i="14"/>
  <c r="C33" i="1" s="1"/>
  <c r="J25" i="14"/>
  <c r="O25" i="14"/>
  <c r="E12" i="14"/>
  <c r="J12" i="14"/>
  <c r="O12" i="14"/>
  <c r="D13" i="14"/>
  <c r="I13" i="14"/>
  <c r="N13" i="14"/>
  <c r="C14" i="14"/>
  <c r="H14" i="14"/>
  <c r="M14" i="14"/>
  <c r="C15" i="14"/>
  <c r="H15" i="14"/>
  <c r="M15" i="14"/>
  <c r="M23" i="14"/>
  <c r="B24" i="14"/>
  <c r="G24" i="14"/>
  <c r="L24" i="14"/>
  <c r="A25" i="14"/>
  <c r="T15" i="14" s="1"/>
  <c r="F25" i="14"/>
  <c r="K25" i="14"/>
  <c r="N16" i="13"/>
  <c r="D17" i="13"/>
  <c r="I17" i="13"/>
  <c r="N17" i="13"/>
  <c r="D18" i="13"/>
  <c r="I18" i="13"/>
  <c r="N18" i="13"/>
  <c r="D19" i="13"/>
  <c r="I19" i="13"/>
  <c r="N19" i="13"/>
  <c r="C20" i="13"/>
  <c r="H20" i="13"/>
  <c r="M20" i="13"/>
  <c r="B21" i="13"/>
  <c r="G21" i="13"/>
  <c r="L21" i="13"/>
  <c r="A22" i="13"/>
  <c r="F22" i="13"/>
  <c r="K22" i="13"/>
  <c r="E23" i="13"/>
  <c r="J23" i="13"/>
  <c r="O23" i="13"/>
  <c r="D24" i="13"/>
  <c r="I24" i="13"/>
  <c r="N24" i="13"/>
  <c r="C25" i="13"/>
  <c r="H25" i="13"/>
  <c r="M25" i="13"/>
  <c r="A12" i="14"/>
  <c r="F12" i="14"/>
  <c r="K12" i="14"/>
  <c r="E13" i="14"/>
  <c r="J13" i="14"/>
  <c r="O13" i="14"/>
  <c r="D14" i="14"/>
  <c r="I14" i="14"/>
  <c r="N14" i="14"/>
  <c r="D15" i="14"/>
  <c r="I15" i="14"/>
  <c r="N15" i="14"/>
  <c r="A6" i="14"/>
  <c r="F6" i="14"/>
  <c r="K6" i="14"/>
  <c r="A7" i="14"/>
  <c r="F7" i="14"/>
  <c r="K7" i="14"/>
  <c r="E8" i="14"/>
  <c r="J8" i="14"/>
  <c r="O8" i="14"/>
  <c r="D9" i="14"/>
  <c r="I9" i="14"/>
  <c r="N9" i="14"/>
  <c r="C10" i="14"/>
  <c r="H10" i="14"/>
  <c r="M10" i="14"/>
  <c r="B11" i="14"/>
  <c r="G11" i="14"/>
  <c r="L11" i="14"/>
  <c r="C16" i="14"/>
  <c r="H16" i="14"/>
  <c r="M16" i="14"/>
  <c r="C17" i="14"/>
  <c r="H17" i="14"/>
  <c r="M17" i="14"/>
  <c r="C18" i="14"/>
  <c r="H18" i="14"/>
  <c r="M18" i="14"/>
  <c r="C19" i="14"/>
  <c r="H19" i="14"/>
  <c r="M19" i="14"/>
  <c r="B20" i="14"/>
  <c r="G20" i="14"/>
  <c r="L20" i="14"/>
  <c r="A21" i="14"/>
  <c r="F21" i="14"/>
  <c r="K21" i="14"/>
  <c r="E22" i="14"/>
  <c r="J22" i="14"/>
  <c r="O22" i="14"/>
  <c r="D23" i="14"/>
  <c r="I23" i="14"/>
  <c r="N23" i="14"/>
  <c r="C24" i="14"/>
  <c r="H24" i="14"/>
  <c r="M24" i="14"/>
  <c r="B25" i="14"/>
  <c r="G25" i="14"/>
  <c r="L25" i="14"/>
  <c r="E16" i="13"/>
  <c r="J16" i="13"/>
  <c r="O16" i="13"/>
  <c r="E17" i="13"/>
  <c r="J17" i="13"/>
  <c r="O17" i="13"/>
  <c r="E18" i="13"/>
  <c r="J18" i="13"/>
  <c r="O18" i="13"/>
  <c r="E19" i="13"/>
  <c r="J19" i="13"/>
  <c r="O19" i="13"/>
  <c r="D20" i="13"/>
  <c r="I20" i="13"/>
  <c r="N20" i="13"/>
  <c r="C21" i="13"/>
  <c r="H21" i="13"/>
  <c r="M21" i="13"/>
  <c r="B22" i="13"/>
  <c r="G22" i="13"/>
  <c r="L22" i="13"/>
  <c r="A23" i="13"/>
  <c r="F23" i="13"/>
  <c r="K23" i="13"/>
  <c r="E24" i="13"/>
  <c r="J24" i="13"/>
  <c r="O24" i="13"/>
  <c r="D25" i="13"/>
  <c r="I25" i="13"/>
  <c r="N25" i="13"/>
  <c r="B12" i="14"/>
  <c r="G12" i="14"/>
  <c r="L12" i="14"/>
  <c r="A13" i="14"/>
  <c r="F13" i="14"/>
  <c r="K13" i="14"/>
  <c r="E14" i="14"/>
  <c r="J14" i="14"/>
  <c r="O14" i="14"/>
  <c r="E15" i="14"/>
  <c r="J15" i="14"/>
  <c r="O15" i="14"/>
  <c r="J38" i="4"/>
  <c r="J38" i="3"/>
  <c r="I38" i="4"/>
  <c r="I38" i="7"/>
  <c r="I38" i="9"/>
  <c r="J38" i="10"/>
  <c r="I38" i="13"/>
  <c r="N30" i="10" l="1"/>
  <c r="N29" i="8"/>
  <c r="N28" i="12"/>
  <c r="N29" i="9"/>
  <c r="N32" i="14"/>
  <c r="T27" i="14" s="1"/>
  <c r="S12" i="8"/>
  <c r="N31" i="8"/>
  <c r="N33" i="8"/>
  <c r="T12" i="8"/>
  <c r="S13" i="8"/>
  <c r="T13" i="8"/>
  <c r="C30" i="1"/>
  <c r="N29" i="11"/>
  <c r="N30" i="14"/>
  <c r="T8" i="11"/>
  <c r="S8" i="11"/>
  <c r="T10" i="5"/>
  <c r="N28" i="10"/>
  <c r="N29" i="7"/>
  <c r="N30" i="5"/>
  <c r="T10" i="2"/>
  <c r="N32" i="11"/>
  <c r="T11" i="11" s="1"/>
  <c r="S7" i="12"/>
  <c r="T7" i="12"/>
  <c r="N32" i="10"/>
  <c r="R28" i="10" s="1"/>
  <c r="N32" i="8"/>
  <c r="T28" i="8" s="1"/>
  <c r="T8" i="6"/>
  <c r="S8" i="6"/>
  <c r="S7" i="8"/>
  <c r="T7" i="8"/>
  <c r="S9" i="7"/>
  <c r="T9" i="7"/>
  <c r="N32" i="6"/>
  <c r="T11" i="6" s="1"/>
  <c r="T12" i="5"/>
  <c r="N33" i="5"/>
  <c r="S13" i="5"/>
  <c r="S12" i="5"/>
  <c r="N31" i="5"/>
  <c r="T13" i="5"/>
  <c r="C28" i="1"/>
  <c r="T8" i="2"/>
  <c r="S8" i="2"/>
  <c r="T9" i="4"/>
  <c r="S9" i="4"/>
  <c r="N29" i="12"/>
  <c r="T10" i="13"/>
  <c r="T10" i="14"/>
  <c r="T13" i="14"/>
  <c r="S13" i="14"/>
  <c r="N33" i="14"/>
  <c r="T12" i="14"/>
  <c r="N31" i="14"/>
  <c r="S12" i="14"/>
  <c r="N32" i="7"/>
  <c r="R27" i="7" s="1"/>
  <c r="T10" i="7"/>
  <c r="N32" i="5"/>
  <c r="S28" i="5" s="1"/>
  <c r="T10" i="4"/>
  <c r="T7" i="6"/>
  <c r="S7" i="6"/>
  <c r="N28" i="2"/>
  <c r="T9" i="2"/>
  <c r="S9" i="2"/>
  <c r="S8" i="14"/>
  <c r="T8" i="14"/>
  <c r="T11" i="14"/>
  <c r="T9" i="12"/>
  <c r="S9" i="12"/>
  <c r="T9" i="9"/>
  <c r="S9" i="9"/>
  <c r="N30" i="11"/>
  <c r="S8" i="13"/>
  <c r="T8" i="13"/>
  <c r="T9" i="13"/>
  <c r="S9" i="13"/>
  <c r="N29" i="14"/>
  <c r="N28" i="13"/>
  <c r="N28" i="11"/>
  <c r="S7" i="11"/>
  <c r="T7" i="11"/>
  <c r="T10" i="8"/>
  <c r="T8" i="10"/>
  <c r="S8" i="10"/>
  <c r="T9" i="6"/>
  <c r="S9" i="6"/>
  <c r="T7" i="3"/>
  <c r="S7" i="3"/>
  <c r="N29" i="3"/>
  <c r="N28" i="4"/>
  <c r="N31" i="2"/>
  <c r="T13" i="2"/>
  <c r="T12" i="2"/>
  <c r="C21" i="1"/>
  <c r="S13" i="2"/>
  <c r="S12" i="2"/>
  <c r="N33" i="2"/>
  <c r="T7" i="4"/>
  <c r="S7" i="4"/>
  <c r="N32" i="13"/>
  <c r="T11" i="13" s="1"/>
  <c r="T7" i="13"/>
  <c r="S7" i="13"/>
  <c r="T10" i="11"/>
  <c r="T9" i="10"/>
  <c r="S9" i="10"/>
  <c r="T8" i="9"/>
  <c r="S8" i="9"/>
  <c r="T10" i="9"/>
  <c r="N30" i="8"/>
  <c r="T9" i="5"/>
  <c r="S9" i="5"/>
  <c r="T8" i="3"/>
  <c r="S8" i="3"/>
  <c r="N32" i="4"/>
  <c r="S28" i="4" s="1"/>
  <c r="S7" i="2"/>
  <c r="T7" i="2"/>
  <c r="N29" i="13"/>
  <c r="T10" i="10"/>
  <c r="S7" i="10"/>
  <c r="T7" i="10"/>
  <c r="N31" i="7"/>
  <c r="T13" i="7"/>
  <c r="N33" i="7"/>
  <c r="T12" i="7"/>
  <c r="S13" i="7"/>
  <c r="S12" i="7"/>
  <c r="C29" i="1"/>
  <c r="T10" i="6"/>
  <c r="T7" i="5"/>
  <c r="S7" i="5"/>
  <c r="N32" i="2"/>
  <c r="S28" i="2" s="1"/>
  <c r="T7" i="14"/>
  <c r="S7" i="14"/>
  <c r="T9" i="14"/>
  <c r="S9" i="14"/>
  <c r="T12" i="10"/>
  <c r="S12" i="10"/>
  <c r="T13" i="10"/>
  <c r="S13" i="10"/>
  <c r="N33" i="10"/>
  <c r="N31" i="10"/>
  <c r="C23" i="1"/>
  <c r="N30" i="12"/>
  <c r="N29" i="10"/>
  <c r="N33" i="9"/>
  <c r="S13" i="9"/>
  <c r="S12" i="9"/>
  <c r="T13" i="9"/>
  <c r="T12" i="9"/>
  <c r="N31" i="9"/>
  <c r="C22" i="1"/>
  <c r="N30" i="9"/>
  <c r="T7" i="7"/>
  <c r="S7" i="7"/>
  <c r="N28" i="6"/>
  <c r="N28" i="5"/>
  <c r="N29" i="4"/>
  <c r="T10" i="3"/>
  <c r="N30" i="2"/>
  <c r="T13" i="13"/>
  <c r="S13" i="13"/>
  <c r="T12" i="13"/>
  <c r="S12" i="13"/>
  <c r="N33" i="13"/>
  <c r="N31" i="13"/>
  <c r="C31" i="1"/>
  <c r="S28" i="11"/>
  <c r="T27" i="11"/>
  <c r="S13" i="11"/>
  <c r="S12" i="11"/>
  <c r="S27" i="11"/>
  <c r="R27" i="11"/>
  <c r="N33" i="11"/>
  <c r="N31" i="11"/>
  <c r="T28" i="11"/>
  <c r="R28" i="11"/>
  <c r="T12" i="11"/>
  <c r="T13" i="11"/>
  <c r="C27" i="1"/>
  <c r="N28" i="9"/>
  <c r="T8" i="8"/>
  <c r="S8" i="8"/>
  <c r="T7" i="9"/>
  <c r="S7" i="9"/>
  <c r="S9" i="3"/>
  <c r="T9" i="3"/>
  <c r="S8" i="5"/>
  <c r="T8" i="5"/>
  <c r="N29" i="2"/>
  <c r="N30" i="13"/>
  <c r="S8" i="12"/>
  <c r="T8" i="12"/>
  <c r="N28" i="14"/>
  <c r="T12" i="12"/>
  <c r="S12" i="12"/>
  <c r="N33" i="12"/>
  <c r="N31" i="12"/>
  <c r="T13" i="12"/>
  <c r="S13" i="12"/>
  <c r="C32" i="1"/>
  <c r="T10" i="12"/>
  <c r="S9" i="11"/>
  <c r="T9" i="11"/>
  <c r="N32" i="12"/>
  <c r="R27" i="12" s="1"/>
  <c r="S9" i="8"/>
  <c r="T9" i="8"/>
  <c r="N28" i="8"/>
  <c r="N28" i="7"/>
  <c r="N30" i="7"/>
  <c r="N30" i="4"/>
  <c r="N28" i="3"/>
  <c r="T28" i="6"/>
  <c r="N31" i="6"/>
  <c r="N33" i="6"/>
  <c r="S28" i="6"/>
  <c r="R28" i="6"/>
  <c r="S13" i="6"/>
  <c r="S27" i="6"/>
  <c r="R27" i="6"/>
  <c r="T13" i="6"/>
  <c r="T12" i="6"/>
  <c r="S12" i="6"/>
  <c r="C24" i="1"/>
  <c r="T8" i="7"/>
  <c r="S8" i="7"/>
  <c r="N32" i="9"/>
  <c r="R28" i="9" s="1"/>
  <c r="N30" i="6"/>
  <c r="N29" i="6"/>
  <c r="N32" i="3"/>
  <c r="R27" i="3" s="1"/>
  <c r="N29" i="5"/>
  <c r="S13" i="4"/>
  <c r="T12" i="4"/>
  <c r="N33" i="4"/>
  <c r="S12" i="4"/>
  <c r="N31" i="4"/>
  <c r="T13" i="4"/>
  <c r="C26" i="1"/>
  <c r="T13" i="3"/>
  <c r="N33" i="3"/>
  <c r="S12" i="3"/>
  <c r="C25" i="1"/>
  <c r="N31" i="3"/>
  <c r="S13" i="3"/>
  <c r="T12" i="3"/>
  <c r="S8" i="4"/>
  <c r="T8" i="4"/>
  <c r="N30" i="3"/>
  <c r="S10" i="8" l="1"/>
  <c r="T28" i="10"/>
  <c r="S10" i="4"/>
  <c r="S10" i="7"/>
  <c r="R15" i="7" s="1"/>
  <c r="E29" i="1" s="1"/>
  <c r="T11" i="7"/>
  <c r="T27" i="10"/>
  <c r="S10" i="9"/>
  <c r="S27" i="10"/>
  <c r="S10" i="12"/>
  <c r="R15" i="12" s="1"/>
  <c r="E32" i="1" s="1"/>
  <c r="S10" i="6"/>
  <c r="S15" i="6" s="1"/>
  <c r="S28" i="14"/>
  <c r="R27" i="4"/>
  <c r="T27" i="3"/>
  <c r="T28" i="13"/>
  <c r="T28" i="14"/>
  <c r="T27" i="6"/>
  <c r="R28" i="13"/>
  <c r="R27" i="13"/>
  <c r="S27" i="13"/>
  <c r="R28" i="7"/>
  <c r="F29" i="1" s="1"/>
  <c r="T28" i="3"/>
  <c r="S28" i="10"/>
  <c r="T11" i="8"/>
  <c r="S27" i="14"/>
  <c r="S28" i="13"/>
  <c r="S27" i="7"/>
  <c r="T27" i="13"/>
  <c r="T27" i="4"/>
  <c r="R28" i="4"/>
  <c r="S10" i="14"/>
  <c r="R15" i="14" s="1"/>
  <c r="E33" i="1" s="1"/>
  <c r="T28" i="4"/>
  <c r="R27" i="10"/>
  <c r="F23" i="1" s="1"/>
  <c r="T28" i="7"/>
  <c r="T11" i="10"/>
  <c r="T11" i="4"/>
  <c r="S27" i="4"/>
  <c r="S10" i="11"/>
  <c r="S15" i="11" s="1"/>
  <c r="R28" i="12"/>
  <c r="T11" i="5"/>
  <c r="S28" i="12"/>
  <c r="S10" i="3"/>
  <c r="S15" i="3" s="1"/>
  <c r="S10" i="2"/>
  <c r="S15" i="2" s="1"/>
  <c r="S27" i="12"/>
  <c r="S28" i="7"/>
  <c r="T27" i="7"/>
  <c r="S10" i="5"/>
  <c r="R15" i="5" s="1"/>
  <c r="E28" i="1" s="1"/>
  <c r="T11" i="12"/>
  <c r="T27" i="2"/>
  <c r="R28" i="14"/>
  <c r="R28" i="8"/>
  <c r="F24" i="1"/>
  <c r="R27" i="2"/>
  <c r="S27" i="3"/>
  <c r="T28" i="12"/>
  <c r="S10" i="10"/>
  <c r="S15" i="10" s="1"/>
  <c r="R27" i="14"/>
  <c r="T28" i="2"/>
  <c r="S10" i="13"/>
  <c r="R15" i="13" s="1"/>
  <c r="E31" i="1" s="1"/>
  <c r="T27" i="8"/>
  <c r="R27" i="9"/>
  <c r="F22" i="1" s="1"/>
  <c r="R27" i="5"/>
  <c r="S27" i="9"/>
  <c r="S15" i="4"/>
  <c r="R15" i="4"/>
  <c r="E26" i="1" s="1"/>
  <c r="R28" i="3"/>
  <c r="F25" i="1" s="1"/>
  <c r="S15" i="7"/>
  <c r="T11" i="9"/>
  <c r="S27" i="5"/>
  <c r="S15" i="12"/>
  <c r="S28" i="3"/>
  <c r="T27" i="12"/>
  <c r="S28" i="9"/>
  <c r="T11" i="3"/>
  <c r="S27" i="2"/>
  <c r="T27" i="5"/>
  <c r="R28" i="5"/>
  <c r="S27" i="8"/>
  <c r="R28" i="2"/>
  <c r="T11" i="2"/>
  <c r="S15" i="8"/>
  <c r="R15" i="8"/>
  <c r="E30" i="1" s="1"/>
  <c r="T28" i="9"/>
  <c r="T27" i="9"/>
  <c r="T28" i="5"/>
  <c r="R15" i="9"/>
  <c r="E22" i="1" s="1"/>
  <c r="S15" i="9"/>
  <c r="F27" i="1"/>
  <c r="S28" i="8"/>
  <c r="R27" i="8"/>
  <c r="S15" i="14" l="1"/>
  <c r="D33" i="1" s="1"/>
  <c r="R15" i="6"/>
  <c r="E24" i="1" s="1"/>
  <c r="F30" i="1"/>
  <c r="R15" i="3"/>
  <c r="E25" i="1" s="1"/>
  <c r="S15" i="13"/>
  <c r="S23" i="13" s="1"/>
  <c r="F33" i="1"/>
  <c r="F26" i="1"/>
  <c r="F31" i="1"/>
  <c r="S15" i="5"/>
  <c r="T19" i="5" s="1"/>
  <c r="R15" i="11"/>
  <c r="E27" i="1" s="1"/>
  <c r="R15" i="10"/>
  <c r="E23" i="1" s="1"/>
  <c r="R15" i="2"/>
  <c r="E21" i="1" s="1"/>
  <c r="F21" i="1"/>
  <c r="F32" i="1"/>
  <c r="T20" i="8"/>
  <c r="R25" i="8"/>
  <c r="S20" i="8"/>
  <c r="T24" i="8"/>
  <c r="T19" i="8"/>
  <c r="S21" i="8"/>
  <c r="T23" i="8"/>
  <c r="T22" i="8"/>
  <c r="T21" i="8"/>
  <c r="S24" i="8"/>
  <c r="S23" i="8"/>
  <c r="S22" i="8"/>
  <c r="S19" i="8"/>
  <c r="D30" i="1"/>
  <c r="T24" i="6"/>
  <c r="T19" i="6"/>
  <c r="S24" i="6"/>
  <c r="S19" i="6"/>
  <c r="T23" i="6"/>
  <c r="R25" i="6"/>
  <c r="S20" i="6"/>
  <c r="T22" i="6"/>
  <c r="T21" i="6"/>
  <c r="T20" i="6"/>
  <c r="S23" i="6"/>
  <c r="S22" i="6"/>
  <c r="S21" i="6"/>
  <c r="D24" i="1"/>
  <c r="T22" i="9"/>
  <c r="S22" i="9"/>
  <c r="T21" i="9"/>
  <c r="R25" i="9"/>
  <c r="T24" i="9"/>
  <c r="T20" i="9"/>
  <c r="T23" i="9"/>
  <c r="T19" i="9"/>
  <c r="S21" i="9"/>
  <c r="S19" i="9"/>
  <c r="S20" i="9"/>
  <c r="S24" i="9"/>
  <c r="S23" i="9"/>
  <c r="D22" i="1"/>
  <c r="T21" i="4"/>
  <c r="S21" i="4"/>
  <c r="T20" i="4"/>
  <c r="R25" i="4"/>
  <c r="T24" i="4"/>
  <c r="S24" i="4"/>
  <c r="S19" i="4"/>
  <c r="S23" i="4"/>
  <c r="S22" i="4"/>
  <c r="S20" i="4"/>
  <c r="T22" i="4"/>
  <c r="T23" i="4"/>
  <c r="T19" i="4"/>
  <c r="D26" i="1"/>
  <c r="S24" i="2"/>
  <c r="S19" i="2"/>
  <c r="T19" i="2"/>
  <c r="S23" i="2"/>
  <c r="T24" i="2"/>
  <c r="T23" i="2"/>
  <c r="T20" i="2"/>
  <c r="S20" i="2"/>
  <c r="T21" i="2"/>
  <c r="S21" i="2"/>
  <c r="R25" i="2"/>
  <c r="T22" i="2"/>
  <c r="S22" i="2"/>
  <c r="D21" i="1"/>
  <c r="T23" i="12"/>
  <c r="S23" i="12"/>
  <c r="T22" i="12"/>
  <c r="S22" i="12"/>
  <c r="S24" i="12"/>
  <c r="T19" i="12"/>
  <c r="S19" i="12"/>
  <c r="T20" i="12"/>
  <c r="S20" i="12"/>
  <c r="T21" i="12"/>
  <c r="R25" i="12"/>
  <c r="T24" i="12"/>
  <c r="S21" i="12"/>
  <c r="D32" i="1"/>
  <c r="S23" i="3"/>
  <c r="T22" i="3"/>
  <c r="S22" i="3"/>
  <c r="T23" i="3"/>
  <c r="S21" i="3"/>
  <c r="S20" i="3"/>
  <c r="S19" i="3"/>
  <c r="T24" i="3"/>
  <c r="R25" i="3"/>
  <c r="S24" i="3"/>
  <c r="T21" i="3"/>
  <c r="T20" i="3"/>
  <c r="T19" i="3"/>
  <c r="D25" i="1"/>
  <c r="T24" i="10"/>
  <c r="T22" i="10"/>
  <c r="S21" i="10"/>
  <c r="T23" i="10"/>
  <c r="S22" i="10"/>
  <c r="T20" i="10"/>
  <c r="S23" i="10"/>
  <c r="S20" i="10"/>
  <c r="S24" i="10"/>
  <c r="T19" i="10"/>
  <c r="S19" i="10"/>
  <c r="T21" i="10"/>
  <c r="R25" i="10"/>
  <c r="D23" i="1"/>
  <c r="F28" i="1"/>
  <c r="S23" i="11"/>
  <c r="T19" i="11"/>
  <c r="T20" i="11"/>
  <c r="S19" i="11"/>
  <c r="T22" i="11"/>
  <c r="T21" i="11"/>
  <c r="T24" i="11"/>
  <c r="T23" i="11"/>
  <c r="S22" i="11"/>
  <c r="S21" i="11"/>
  <c r="S20" i="11"/>
  <c r="R25" i="11"/>
  <c r="S24" i="11"/>
  <c r="D27" i="1"/>
  <c r="T21" i="7"/>
  <c r="R25" i="7"/>
  <c r="T19" i="7"/>
  <c r="T20" i="7"/>
  <c r="T23" i="7"/>
  <c r="S22" i="7"/>
  <c r="S24" i="7"/>
  <c r="S19" i="7"/>
  <c r="T24" i="7"/>
  <c r="S23" i="7"/>
  <c r="T22" i="7"/>
  <c r="S21" i="7"/>
  <c r="S20" i="7"/>
  <c r="D29" i="1"/>
  <c r="S22" i="14" l="1"/>
  <c r="T22" i="14"/>
  <c r="R25" i="14"/>
  <c r="T23" i="14"/>
  <c r="S23" i="14"/>
  <c r="S24" i="14"/>
  <c r="T24" i="14"/>
  <c r="S19" i="14"/>
  <c r="S20" i="14"/>
  <c r="T20" i="14"/>
  <c r="S21" i="14"/>
  <c r="T19" i="14"/>
  <c r="T21" i="14"/>
  <c r="S24" i="13"/>
  <c r="T24" i="13"/>
  <c r="T21" i="13"/>
  <c r="S19" i="13"/>
  <c r="R25" i="13"/>
  <c r="S20" i="13"/>
  <c r="S21" i="13"/>
  <c r="T22" i="13"/>
  <c r="D31" i="1"/>
  <c r="S22" i="13"/>
  <c r="T19" i="13"/>
  <c r="T23" i="13"/>
  <c r="T20" i="13"/>
  <c r="S20" i="5"/>
  <c r="S22" i="5"/>
  <c r="D28" i="1"/>
  <c r="T23" i="5"/>
  <c r="T21" i="5"/>
  <c r="S21" i="5"/>
  <c r="T20" i="5"/>
  <c r="T22" i="5"/>
  <c r="S24" i="5"/>
  <c r="T24" i="5"/>
  <c r="S19" i="5"/>
  <c r="R25" i="5"/>
  <c r="S2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E6" authorId="0" shapeId="0" xr:uid="{00000000-0006-0000-0000-000001000000}">
      <text>
        <r>
          <rPr>
            <sz val="11"/>
            <color theme="1"/>
            <rFont val="Calibri"/>
            <family val="2"/>
            <charset val="1"/>
          </rPr>
          <t>Source: 經濟日報, https://money.udn.com/money/story/5607/9237285</t>
        </r>
      </text>
    </comment>
    <comment ref="E7" authorId="0" shapeId="0" xr:uid="{00000000-0006-0000-0000-000002000000}">
      <text>
        <r>
          <rPr>
            <sz val="11"/>
            <color theme="1"/>
            <rFont val="Calibri"/>
            <family val="2"/>
            <charset val="1"/>
          </rPr>
          <t>Source: 經濟日報, https://money.udn.com/money/story/5607/9237285</t>
        </r>
      </text>
    </comment>
    <comment ref="E8" authorId="0" shapeId="0" xr:uid="{00000000-0006-0000-0000-000003000000}">
      <text>
        <r>
          <rPr>
            <sz val="11"/>
            <color theme="1"/>
            <rFont val="Calibri"/>
            <family val="2"/>
            <charset val="1"/>
          </rPr>
          <t>Source: 經濟日報, https://money.udn.com/money/story/5607/9237285 ; CMoney, https://cmnews.com.tw/article/cmoney-4b7bf85f-e86d-11f0-9032-dc16992c4f0b</t>
        </r>
      </text>
    </comment>
    <comment ref="E9" authorId="0" shapeId="0" xr:uid="{00000000-0006-0000-0000-000004000000}">
      <text>
        <r>
          <rPr>
            <sz val="11"/>
            <color theme="1"/>
            <rFont val="Calibri"/>
            <family val="2"/>
            <charset val="1"/>
          </rPr>
          <t>Source: LINE Bank, https://www.linebank.com.tw/wealth-investment/topics/2946 ; 鉅亨網, https://news.cnyes.com/news/id/6264654</t>
        </r>
      </text>
    </comment>
    <comment ref="E10" authorId="0" shapeId="0" xr:uid="{00000000-0006-0000-0000-000005000000}">
      <text>
        <r>
          <rPr>
            <sz val="11"/>
            <color theme="1"/>
            <rFont val="Calibri"/>
            <family val="2"/>
            <charset val="1"/>
          </rPr>
          <t>Source: 鉅亨網, https://news.cnyes.com/news/id/6342882</t>
        </r>
      </text>
    </comment>
    <comment ref="E11" authorId="0" shapeId="0" xr:uid="{00000000-0006-0000-0000-000006000000}">
      <text>
        <r>
          <rPr>
            <sz val="11"/>
            <color theme="1"/>
            <rFont val="Calibri"/>
            <family val="2"/>
            <charset val="1"/>
          </rPr>
          <t>Source: 鉅亨網, https://news.cnyes.com/news/id/6264654</t>
        </r>
      </text>
    </comment>
    <comment ref="E12" authorId="0" shapeId="0" xr:uid="{00000000-0006-0000-0000-000007000000}">
      <text>
        <r>
          <rPr>
            <sz val="11"/>
            <color theme="1"/>
            <rFont val="Calibri"/>
            <family val="2"/>
            <charset val="1"/>
          </rPr>
          <t>Source: 鉅亨網, https://news.cnyes.com/news/id/6264654 ; 工商時報, https://www.ctee.com.tw/news/20260208700009-430201</t>
        </r>
      </text>
    </comment>
    <comment ref="E13" authorId="0" shapeId="0" xr:uid="{00000000-0006-0000-0000-000008000000}">
      <text>
        <r>
          <rPr>
            <sz val="11"/>
            <color theme="1"/>
            <rFont val="Calibri"/>
            <family val="2"/>
            <charset val="1"/>
          </rPr>
          <t>Source: 工商時報, https://www.ctee.com.tw/news/20260208700009-430201</t>
        </r>
      </text>
    </comment>
    <comment ref="E14" authorId="0" shapeId="0" xr:uid="{00000000-0006-0000-0000-000009000000}">
      <text>
        <r>
          <rPr>
            <sz val="11"/>
            <color theme="1"/>
            <rFont val="Calibri"/>
            <family val="2"/>
            <charset val="1"/>
          </rPr>
          <t>Source: LINE Bank, https://www.linebank.com.tw/wealth-investment/topics/2946</t>
        </r>
      </text>
    </comment>
    <comment ref="E15" authorId="0" shapeId="0" xr:uid="{00000000-0006-0000-0000-00000A000000}">
      <text>
        <r>
          <rPr>
            <sz val="11"/>
            <color theme="1"/>
            <rFont val="Calibri"/>
            <family val="2"/>
            <charset val="1"/>
          </rPr>
          <t>Source: 經濟日報 2026/04/30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  <comment ref="H29" authorId="0" shapeId="0" xr:uid="{00000000-0006-0000-01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2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https://tw.stock.yahoo.com/quote/2382.TW/eps, 2025各季單季EPS</t>
        </r>
      </text>
    </comment>
    <comment ref="H29" authorId="0" shapeId="0" xr:uid="{00000000-0006-0000-02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3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https://tw.stock.yahoo.com/quote/2395.TW/eps Q1-Q3; Q4=3.59來自 Yahoo基本資料頁</t>
        </r>
      </text>
    </comment>
    <comment ref="H29" authorId="0" shapeId="0" xr:uid="{00000000-0006-0000-03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400-000001000000}">
      <text>
        <r>
          <rPr>
            <sz val="11"/>
            <color theme="1"/>
            <rFont val="Calibri"/>
            <family val="2"/>
            <charset val="1"/>
          </rPr>
          <t>Ihsueh:
Source: Yahoo奇摸股市; Q4=2.59推算(9.02-1.85-2.20-2.36); 全年9.04來自鉅亨自結 https://news.cnyes.com/news/id/6313182</t>
        </r>
      </text>
    </comment>
    <comment ref="H29" authorId="0" shapeId="0" xr:uid="{00000000-0006-0000-04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5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https://tw.stock.yahoo.com/quote/2379.TW/profile, Q4=5.17</t>
        </r>
      </text>
    </comment>
    <comment ref="H29" authorId="0" shapeId="0" xr:uid="{00000000-0006-0000-05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600-000001000000}">
      <text>
        <r>
          <rPr>
            <sz val="11"/>
            <color theme="1"/>
            <rFont val="Calibri"/>
            <family val="2"/>
            <charset val="1"/>
          </rPr>
          <t>Ihsueh:
Source: Win投資（非官方） https://winvest.tw/Stock/Symbol/Comment/5388; Q2=推算(全年4.04-1.02-1.00-0.89=1.13)</t>
        </r>
      </text>
    </comment>
    <comment ref="H29" authorId="0" shapeId="0" xr:uid="{00000000-0006-0000-06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7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 https://tw.stock.yahoo.com/quote/6285.TW/eps; Q4=2.06 Win投資</t>
        </r>
      </text>
    </comment>
    <comment ref="H29" authorId="0" shapeId="0" xr:uid="{00000000-0006-0000-07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800-000001000000}">
      <text>
        <r>
          <rPr>
            <sz val="11"/>
            <color theme="1"/>
            <rFont val="Calibri"/>
            <family val="2"/>
            <charset val="1"/>
          </rPr>
          <t>Ihsueh:
Source: Yahoo奇摸股市基本資料（非官方）; Q4=0.05 Win投資 https://winvest.tw/Stock/Symbol/Comment/2352</t>
        </r>
      </text>
    </comment>
    <comment ref="H29" authorId="0" shapeId="0" xr:uid="{00000000-0006-0000-08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H29" authorId="0" shapeId="0" xr:uid="{00000000-0006-0000-0900-000001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A00-000001000000}">
      <text>
        <r>
          <rPr>
            <sz val="11"/>
            <color theme="1"/>
            <rFont val="Calibri"/>
            <family val="2"/>
            <charset val="1"/>
          </rPr>
          <t>Ihsueh:
來源：Yahoo奇摩股市（非官方第三方）, https://tw.stock.yahoo.com/quote/3034.TW/eps</t>
        </r>
      </text>
    </comment>
    <comment ref="C29" authorId="0" shapeId="0" xr:uid="{00000000-0006-0000-0A00-000002000000}">
      <text>
        <r>
          <rPr>
            <sz val="11"/>
            <color theme="1"/>
            <rFont val="Calibri"/>
            <family val="2"/>
            <charset val="1"/>
          </rPr>
          <t>Ihsueh:
來源：Yahoo奇摩股市（非官方第三方）, https://tw.stock.yahoo.com/quote/3034.TW/eps</t>
        </r>
      </text>
    </comment>
    <comment ref="D29" authorId="0" shapeId="0" xr:uid="{00000000-0006-0000-0A00-000003000000}">
      <text>
        <r>
          <rPr>
            <sz val="11"/>
            <color theme="1"/>
            <rFont val="Calibri"/>
            <family val="2"/>
            <charset val="1"/>
          </rPr>
          <t>Ihsueh:
來源：Yahoo奇摩股市（非官方第三方）, https://tw.stock.yahoo.com/quote/3034.TW/eps</t>
        </r>
      </text>
    </comment>
    <comment ref="E29" authorId="0" shapeId="0" xr:uid="{00000000-0006-0000-0A00-000004000000}">
      <text>
        <r>
          <rPr>
            <sz val="11"/>
            <color theme="1"/>
            <rFont val="Calibri"/>
            <family val="2"/>
            <charset val="1"/>
          </rPr>
          <t>Ihsueh:
來源：nStock股市資訊, https://www.nstock.tw/stock_info?stock_id=3034&amp;status=6</t>
        </r>
      </text>
    </comment>
    <comment ref="B34" authorId="0" shapeId="0" xr:uid="{00000000-0006-0000-0A00-000005000000}">
      <text>
        <r>
          <rPr>
            <sz val="11"/>
            <color theme="1"/>
            <rFont val="Calibri"/>
            <family val="2"/>
            <charset val="1"/>
          </rPr>
          <t>Ihsueh:
來源：Yahoo奇摩股市股利頁，2025年配發現金股利</t>
        </r>
      </text>
    </comment>
    <comment ref="B35" authorId="0" shapeId="0" xr:uid="{00000000-0006-0000-0A00-000006000000}">
      <text>
        <r>
          <rPr>
            <sz val="11"/>
            <color theme="1"/>
            <rFont val="Calibri"/>
            <family val="2"/>
            <charset val="1"/>
          </rPr>
          <t>Ihsueh:
來源：鉅亨網，2025Q4每股淨值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B00-000001000000}">
      <text>
        <r>
          <rPr>
            <sz val="11"/>
            <color theme="1"/>
            <rFont val="Calibri"/>
            <family val="2"/>
            <charset val="1"/>
          </rPr>
          <t>Source: Yahoo Finance (tw.stock.yahoo.com/quote/2330.TW/eps), 2025Q1單季EPS</t>
        </r>
      </text>
    </comment>
    <comment ref="C29" authorId="0" shapeId="0" xr:uid="{D0AC1A7B-BF28-AC4D-A5A8-FF0E5135F2B4}">
      <text>
        <r>
          <rPr>
            <b/>
            <sz val="10"/>
            <color rgb="FF000000"/>
            <rFont val="Microsoft JhengHei UI"/>
            <family val="1"/>
          </rPr>
          <t>Ihsueh:</t>
        </r>
        <r>
          <rPr>
            <sz val="10"/>
            <color rgb="FF000000"/>
            <rFont val="Microsoft JhengHei UI"/>
            <family val="1"/>
          </rPr>
          <t xml:space="preserve">
Source: Yahoo Finance (tw.stock.yahoo.com/quote/2330.TW/eps), 2025Q2單季EPS</t>
        </r>
      </text>
    </comment>
    <comment ref="D29" authorId="0" shapeId="0" xr:uid="{879F0EF8-92F8-4748-A8C0-ED107A28D71A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(tw.stock.yahoo.com/quote/2330.TW/eps), 2025Q3單季EPS</t>
        </r>
      </text>
    </comment>
    <comment ref="E29" authorId="0" shapeId="0" xr:uid="{78606D44-355B-2A48-910D-F1D047F7FBF5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(tw.stock.yahoo.com/quote/2330.TW/eps), 2025Q4單季EPS</t>
        </r>
      </text>
    </comment>
    <comment ref="H29" authorId="0" shapeId="0" xr:uid="{00000000-0006-0000-0B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  <comment ref="B34" authorId="0" shapeId="0" xr:uid="{0214A164-4A13-DF45-804D-62C9E0C66AD0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台積電法說會, 2025年現金股利15元(每季3.75元x4), winvest.tw/Stock/Symbol/Comment/2330</t>
        </r>
      </text>
    </comment>
    <comment ref="B35" authorId="0" shapeId="0" xr:uid="{D5CC7885-05EF-6340-9BD7-0F3121737A5D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cnyes.com/twstock/2330, 2025Q4每股淨值208.99元</t>
        </r>
      </text>
    </comment>
    <comment ref="B36" authorId="0" shapeId="0" xr:uid="{D6741D68-FCB8-D748-98B4-810C0A095A39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台積電歷史PER合理低倍數（保守），參考財報狗PER~32x</t>
        </r>
      </text>
    </comment>
    <comment ref="C36" authorId="0" shapeId="0" xr:uid="{0784F3CF-850F-6243-8032-0C9954A349B7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台積電歷史PER合理中倍數，參考statementdog.com/analysis/2330/pe</t>
        </r>
      </text>
    </comment>
    <comment ref="D36" authorId="0" shapeId="0" xr:uid="{D6C59E15-ABDC-0344-A6FE-9E3238ED47FB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台積電歷史PER合理高倍數（樂觀）</t>
        </r>
      </text>
    </comment>
    <comment ref="B37" authorId="0" shapeId="0" xr:uid="{DDDAF346-9DCC-7D41-B45D-26A4FBE38E05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台積電歷史PBR合理低倍數</t>
        </r>
      </text>
    </comment>
    <comment ref="C37" authorId="0" shapeId="0" xr:uid="{C23A7042-3678-6840-9702-8B37C97E6AA0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台積電當前PBR約10.21x (cnyes.com/twstock/2330)</t>
        </r>
      </text>
    </comment>
    <comment ref="D37" authorId="0" shapeId="0" xr:uid="{B5A89A9B-46B5-0D42-B0DE-3384F2FADC00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台積電歷史PBR合理高倍數</t>
        </r>
      </text>
    </comment>
    <comment ref="B38" authorId="0" shapeId="0" xr:uid="{DCEEE663-1E22-D748-878B-B61147B46FB6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台積電歷史殖利率高點（便宜價），殖利率法</t>
        </r>
      </text>
    </comment>
    <comment ref="C38" authorId="0" shapeId="0" xr:uid="{D9B2D699-389C-5B49-9409-BACA7B84508D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台積電歷史殖利率中點（合理價）</t>
        </r>
      </text>
    </comment>
    <comment ref="D38" authorId="0" shapeId="0" xr:uid="{CFB61F9A-9F47-9741-B6BA-DC982E037FFA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台積電歷史殖利率低點（貴價），殖利率法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C00-000001000000}">
      <text>
        <r>
          <rPr>
            <sz val="11"/>
            <color theme="1"/>
            <rFont val="Calibri"/>
            <family val="2"/>
            <charset val="1"/>
          </rPr>
          <t>Source: Yahoo Finance (tw.stock.yahoo.com/quote/2308.TW/eps), 2025Q1單季EPS</t>
        </r>
      </text>
    </comment>
    <comment ref="C29" authorId="0" shapeId="0" xr:uid="{2F7A825E-BE9D-2F4D-B5F1-92550B6BB59D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(tw.stock.yahoo.com/quote/2308.TW/eps), 2025Q2單季EPS</t>
        </r>
      </text>
    </comment>
    <comment ref="D29" authorId="0" shapeId="0" xr:uid="{4C56122C-53B0-3041-A63E-B49C72A4B4E1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(tw.stock.yahoo.com/quote/2308.TW/eps), 2025Q3單季EPS</t>
        </r>
      </text>
    </comment>
    <comment ref="E29" authorId="0" shapeId="0" xr:uid="{3A4BD0B9-C4E7-644E-91A9-2F23E7F67507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(tw.stock.yahoo.com/quote/2308.TW/eps), 2025Q4單季EPS; 全年EPS=23.14元(鄰調)、展望2026EPS預作37-40元</t>
        </r>
      </text>
    </comment>
    <comment ref="H29" authorId="0" shapeId="0" xr:uid="{00000000-0006-0000-0C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  <comment ref="B34" authorId="0" shapeId="0" xr:uid="{D5291C2E-7468-E444-A3EA-D833F79492F1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鄰調2025年年度年度EPS 23.14元，擬配息11.6元， knoema.com, cnyes.com/news/id/6353216</t>
        </r>
      </text>
    </comment>
    <comment ref="B35" authorId="0" shapeId="0" xr:uid="{F1FF7D34-21AF-3843-98B8-D991C5727FE5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台達電2025年Q4每股淨值約254.8元(根據每股淨值計算), Yahoo股市</t>
        </r>
      </text>
    </comment>
    <comment ref="B36" authorId="0" shapeId="0" xr:uid="{B57ED70A-E518-4C4B-AE01-5605FDD3116D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台達電歷史PER低倍數，參考AI電源與大盤莫載機說，誤差正負請自行調整</t>
        </r>
      </text>
    </comment>
    <comment ref="C36" authorId="0" shapeId="0" xr:uid="{3200AF28-8AC3-154D-92A5-491E2136A7AD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台達電歷史PER中倍數，2025年市場給予高本益比反映AI成長預期</t>
        </r>
      </text>
    </comment>
    <comment ref="D36" authorId="0" shapeId="0" xr:uid="{FE2D083A-1480-4249-8DF7-4E24633548FF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台達電歷史PER高倍數，乃目前实際市場PER水準</t>
        </r>
      </text>
    </comment>
    <comment ref="B37" authorId="0" shapeId="0" xr:uid="{B24AC1E4-01A8-E345-BB64-5FD13FF4B396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台達電歷史PBR低倍數</t>
        </r>
      </text>
    </comment>
    <comment ref="C37" authorId="0" shapeId="0" xr:uid="{E460FC38-089C-6D42-BE3B-2382A89626AA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台達電歷史PBR中倍數</t>
        </r>
      </text>
    </comment>
    <comment ref="D37" authorId="0" shapeId="0" xr:uid="{D91FC2D2-E662-6140-B1D2-BE4414CCECEE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台達電歷史PBR高倍數</t>
        </r>
      </text>
    </comment>
    <comment ref="B38" authorId="0" shapeId="0" xr:uid="{E9E4AAD9-4807-E343-8FE2-004B42176963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台達電歷史殖利率便宜價基準，每股配息11.6元</t>
        </r>
      </text>
    </comment>
    <comment ref="C38" authorId="0" shapeId="0" xr:uid="{039296FF-0DCD-094C-88F2-EFD99DF5231C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台達電歷史殖利率合理價基準</t>
        </r>
      </text>
    </comment>
    <comment ref="D38" authorId="0" shapeId="0" xr:uid="{C6A2E6B2-2FAA-1347-BFD8-B05AE489E119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台達電歷史殖利率貴價基準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Ihsueh</author>
  </authors>
  <commentList>
    <comment ref="B29" authorId="0" shapeId="0" xr:uid="{00000000-0006-0000-0D00-000001000000}">
      <text>
        <r>
          <rPr>
            <sz val="11"/>
            <color theme="1"/>
            <rFont val="Calibri"/>
            <family val="2"/>
            <charset val="1"/>
          </rPr>
          <t>Source: Yahoo Finance (tw.stock.yahoo.com/quote/2881.TW/eps), 2025Q1單季EPS 3.00元</t>
        </r>
      </text>
    </comment>
    <comment ref="C29" authorId="0" shapeId="0" xr:uid="{AEA02544-C36E-E641-AA0A-EB5725561CE9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Yahoo Finance (tw.stock.yahoo.com/quote/2881.TW/eps), 2025Q2單季EPS 0.49元; Q2受外匠溲避險貓掉走強影響大幅減少</t>
        </r>
      </text>
    </comment>
    <comment ref="D29" authorId="0" shapeId="0" xr:uid="{E01AB545-8740-8140-A6CA-235674CC0E5E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全年8.37-Q1(3.00)-Q2(0.49)-Q4(2.14)=2.74; 參考winvest.tw/Stock/Symbol/Comment/2881</t>
        </r>
      </text>
    </comment>
    <comment ref="E29" authorId="0" shapeId="0" xr:uid="{F4D79507-5C13-9048-824E-AB367EF06978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winvest.tw/Stock/Symbol/Comment/2881, 2025Q4單季EPS 2.14元，全年EPS=8.37元(cna.com.tw/business/chinese/428217)</t>
        </r>
      </text>
    </comment>
    <comment ref="H29" authorId="0" shapeId="0" xr:uid="{00000000-0006-0000-0D00-000002000000}">
      <text>
        <r>
          <rPr>
            <sz val="11"/>
            <color theme="1"/>
            <rFont val="Calibri"/>
            <family val="2"/>
            <charset val="1"/>
          </rPr>
          <t>Ihsueh:
Source: Yahoo奇摸股市（非官方）, https://tw.stock.yahoo.com/quote/2324.TW/eps, 2025各季單季EPS</t>
        </r>
      </text>
    </comment>
    <comment ref="B34" authorId="0" shapeId="0" xr:uid="{862CCB1A-B697-CC45-93D8-3088F027503F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富邦金2025年度現金股刡4.25元; 參考cna.com.tw/business/chinese/428217, 2026/04/30公告</t>
        </r>
      </text>
    </comment>
    <comment ref="B35" authorId="0" shapeId="0" xr:uid="{D0A0D4F3-F839-9643-A845-C004D9B53C87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Source: 富邦金2025年底每股淨值63.3元; newtalk.tw/news/view/2026-03-16/1024593</t>
        </r>
      </text>
    </comment>
    <comment ref="B36" authorId="0" shapeId="0" xr:uid="{A2F18FE4-2341-8B49-8A64-6F4E5DA9313C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富邦金歷史PER低倍數(便宜價)，金控聯約10-12x為便宜區間</t>
        </r>
      </text>
    </comment>
    <comment ref="C36" authorId="0" shapeId="0" xr:uid="{27D5DE09-BCBE-4C49-A798-ADA8FEFDB628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富邦金歷史PER中倍數(合理價)，目前市場PER約11.9x</t>
        </r>
      </text>
    </comment>
    <comment ref="D36" authorId="0" shapeId="0" xr:uid="{20633F5E-2D76-1B46-A844-EEB221985BB0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富邦金歷史PER高倍數(貴價)</t>
        </r>
      </text>
    </comment>
    <comment ref="B37" authorId="0" shapeId="0" xr:uid="{57987E03-14E3-3748-8FD5-6FB02E7CF9BA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富邦金歷史PBR低倍數(便宜價)</t>
        </r>
      </text>
    </comment>
    <comment ref="C37" authorId="0" shapeId="0" xr:uid="{661439D3-011F-184E-81DA-D3739E8A4C1C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富邦金歷史PBR中倍數(合理價)</t>
        </r>
      </text>
    </comment>
    <comment ref="D37" authorId="0" shapeId="0" xr:uid="{5E125782-81CE-A64D-AFC5-47D51EFFC098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富邦金歷史PBR高倍數(貴價)</t>
        </r>
      </text>
    </comment>
    <comment ref="B38" authorId="0" shapeId="0" xr:uid="{965936AE-69F9-774D-A455-A596A51D5222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富邦金歷史殖利率便宜價基準，配息4.25元</t>
        </r>
      </text>
    </comment>
    <comment ref="C38" authorId="0" shapeId="0" xr:uid="{209110CB-A64F-2344-9E4C-4EAE9FE37FDE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富邦金歷史殖利率合理價基準</t>
        </r>
      </text>
    </comment>
    <comment ref="D38" authorId="0" shapeId="0" xr:uid="{6FC427A8-B1DA-F84B-BF51-F92C735D4BEF}">
      <text>
        <r>
          <rPr>
            <b/>
            <sz val="10"/>
            <color rgb="FF000000"/>
            <rFont val="Microsoft JhengHei UI"/>
            <family val="1"/>
            <charset val="1"/>
          </rPr>
          <t>Ihsueh:</t>
        </r>
        <r>
          <rPr>
            <sz val="10"/>
            <color rgb="FF000000"/>
            <rFont val="Microsoft JhengHei UI"/>
            <family val="1"/>
            <charset val="1"/>
          </rPr>
          <t xml:space="preserve">
富邦金歷史殖利率貴價基準</t>
        </r>
      </text>
    </comment>
  </commentList>
</comments>
</file>

<file path=xl/sharedStrings.xml><?xml version="1.0" encoding="utf-8"?>
<sst xmlns="http://schemas.openxmlformats.org/spreadsheetml/2006/main" count="1565" uniqueCount="200">
  <si>
    <t>每日10檔推薦清單</t>
  </si>
  <si>
    <t>日期：</t>
  </si>
  <si>
    <t>資料來源：</t>
  </si>
  <si>
    <t>2026/04/30 市場新聞、外資報告整理</t>
  </si>
  <si>
    <t>免責聲明：本表僅供參考，非投資建議。實際投資請自行研究並承擔風險。</t>
  </si>
  <si>
    <t>排名</t>
  </si>
  <si>
    <t>股票代號</t>
  </si>
  <si>
    <t>股票名稱</t>
  </si>
  <si>
    <t>所屬類股</t>
  </si>
  <si>
    <t>推薦理由/題材</t>
  </si>
  <si>
    <t>备註</t>
  </si>
  <si>
    <t>台積電</t>
  </si>
  <si>
    <t>半導體/晶圓代工</t>
  </si>
  <si>
    <t>外資 AI 共識首選,2nm 量產推進、定價穩定;高盛、瑞銀、摩根士丹利一致按讚</t>
  </si>
  <si>
    <t>未追蹤</t>
  </si>
  <si>
    <t>鴻海</t>
  </si>
  <si>
    <t>EMS/AI 伺服器</t>
  </si>
  <si>
    <t>AI 伺服器組裝龍頭,外資 2026 共識買進名單</t>
  </si>
  <si>
    <t>創意</t>
  </si>
  <si>
    <t>ASIC 設計</t>
  </si>
  <si>
    <t>ASIC 動能強勁,外資 2026 共識買進、營收持續創高</t>
  </si>
  <si>
    <t>台達電</t>
  </si>
  <si>
    <t>AI 伺服器電源/散熱</t>
  </si>
  <si>
    <t>AI 伺服器電源龍頭,HVDC 800V 架構領先,2026~2027 加速成長</t>
  </si>
  <si>
    <t>台光電</t>
  </si>
  <si>
    <t>CCL/AI 材料</t>
  </si>
  <si>
    <t>CCL 絕對核心領導股,M8/M9 技術領先,2026 下半年 M9 量產</t>
  </si>
  <si>
    <t>奇鋐</t>
  </si>
  <si>
    <t>散熱模組</t>
  </si>
  <si>
    <t>AI 伺服器散熱模組龍頭,液冷需求強勁</t>
  </si>
  <si>
    <t>華邦電</t>
  </si>
  <si>
    <t>記憶體</t>
  </si>
  <si>
    <t>DDR5 第四季漲 53~58%,記憶體領頭羊,點燃 AI 與矽光子題材</t>
  </si>
  <si>
    <t>南亞科</t>
  </si>
  <si>
    <t>DDR5 受惠 SK 海力士、美光轉產 HBM 後產能轉移</t>
  </si>
  <si>
    <t>高力</t>
  </si>
  <si>
    <t>電源/燃料電池</t>
  </si>
  <si>
    <t>AI 資料中心電力供應鏈、燃料電池受惠美國電網建置加速</t>
  </si>
  <si>
    <t>聯發科</t>
  </si>
  <si>
    <t>IC 設計</t>
  </si>
  <si>
    <t>ASIC 動能強勁,盤中漲勢領軍</t>
  </si>
  <si>
    <t>追蹤個股燈號同步</t>
  </si>
  <si>
    <t>資料同步自各個股分頁（以最新收盤 = 第 25 列）；燈號、評註、買賣參考價均為公式連動。</t>
  </si>
  <si>
    <t>代號</t>
  </si>
  <si>
    <t>名稱</t>
  </si>
  <si>
    <t>收盤</t>
  </si>
  <si>
    <t>總燈號</t>
  </si>
  <si>
    <t>評註（通過/警示/危險）</t>
  </si>
  <si>
    <t>買進/賣出參考價位</t>
  </si>
  <si>
    <t>仁寶</t>
  </si>
  <si>
    <t>佳世達</t>
  </si>
  <si>
    <t>技嘉</t>
  </si>
  <si>
    <t>瑞昱</t>
  </si>
  <si>
    <t>廣達</t>
  </si>
  <si>
    <t>研華</t>
  </si>
  <si>
    <t>聯詠</t>
  </si>
  <si>
    <t>緯創</t>
  </si>
  <si>
    <t>中磊</t>
  </si>
  <si>
    <t>啟碚</t>
  </si>
  <si>
    <t>燈號記錄</t>
  </si>
  <si>
    <t>🟢 進場 (強)</t>
  </si>
  <si>
    <t>🟢 進場 (次強)</t>
  </si>
  <si>
    <t>🟡 等待</t>
  </si>
  <si>
    <t>🔴 觀望</t>
  </si>
  <si>
    <t>🔴 出場</t>
  </si>
  <si>
    <t>⚪ 資料不足</t>
  </si>
  <si>
    <t>4/30 賣</t>
  </si>
  <si>
    <t>python3 fetch_twse_daily.py -s 2324 2382 2395 3231 2379 5388 6285 2352 2376 3034 2330 2308 -n 20 -o stock.xlsx</t>
  </si>
  <si>
    <t>2324 仁寶 - 近20日股價追蹤</t>
  </si>
  <si>
    <t>所屬產業：</t>
  </si>
  <si>
    <t>筆電/伺服器</t>
  </si>
  <si>
    <t>日期</t>
  </si>
  <si>
    <t>大盤</t>
  </si>
  <si>
    <t>最高</t>
  </si>
  <si>
    <t>最低</t>
  </si>
  <si>
    <t>成交量(張)</t>
  </si>
  <si>
    <t>漲跌幅</t>
  </si>
  <si>
    <t>MA5</t>
  </si>
  <si>
    <t>MA10</t>
  </si>
  <si>
    <t>MA20</t>
  </si>
  <si>
    <t>RSI(6)</t>
  </si>
  <si>
    <t>RSI(12)</t>
  </si>
  <si>
    <t>KD-K</t>
  </si>
  <si>
    <t>KD-D</t>
  </si>
  <si>
    <t>MACD-OSC</t>
  </si>
  <si>
    <t>燈號儀表板</t>
  </si>
  <si>
    <t>步驟</t>
  </si>
  <si>
    <t>條件</t>
  </si>
  <si>
    <t>燈號</t>
  </si>
  <si>
    <t>細節</t>
  </si>
  <si>
    <t>大盤過濾（大盤 &gt; 自身 MA20）</t>
  </si>
  <si>
    <t>趨勢結構（MA10&gt;MA20 且 MA20 斜率向上）</t>
  </si>
  <si>
    <t>動能三合（MA5&gt;MA10 + KD金叉 + RSI6&gt;50）</t>
  </si>
  <si>
    <t>量能（≥1.5×5日均量）</t>
  </si>
  <si>
    <t>停損參考（三段）</t>
  </si>
  <si>
    <t>—</t>
  </si>
  <si>
    <t>持有訊號（收盤&gt;MA5）</t>
  </si>
  <si>
    <t>出場警示（4取2）</t>
  </si>
  <si>
    <t>隔日參考價位</t>
  </si>
  <si>
    <t>區間</t>
  </si>
  <si>
    <t>技術依據</t>
  </si>
  <si>
    <t>下緣</t>
  </si>
  <si>
    <t>上緣</t>
  </si>
  <si>
    <t>🟢 積極買進</t>
  </si>
  <si>
    <t>-1σ 統計下緣</t>
  </si>
  <si>
    <t>🟡 較安全買點</t>
  </si>
  <si>
    <t>-1.5σ 跌深區</t>
  </si>
  <si>
    <t>🔵 強支撐買點</t>
  </si>
  <si>
    <t>-2σ 強支撐</t>
  </si>
  <si>
    <t>🟡 小反彈賣</t>
  </si>
  <si>
    <t>MA5 壓力</t>
  </si>
  <si>
    <t>🔴 較佳出場</t>
  </si>
  <si>
    <t>MA10 強壓</t>
  </si>
  <si>
    <t>⚠️ 突破關鍵</t>
  </si>
  <si>
    <t>站上該價燈號轉強</t>
  </si>
  <si>
    <t>說明</t>
  </si>
  <si>
    <t>距離預警</t>
  </si>
  <si>
    <t>目標價</t>
  </si>
  <si>
    <t>距現價</t>
  </si>
  <si>
    <t>2025年 各季 EPS（元）</t>
  </si>
  <si>
    <t>2026年 各季 EPS（元）</t>
  </si>
  <si>
    <t>摘要統計</t>
  </si>
  <si>
    <t>🟢 至買進區</t>
  </si>
  <si>
    <t>季別</t>
  </si>
  <si>
    <t>Q1</t>
  </si>
  <si>
    <t>Q2</t>
  </si>
  <si>
    <t>Q3</t>
  </si>
  <si>
    <t>Q4</t>
  </si>
  <si>
    <t>最高價</t>
  </si>
  <si>
    <t>🔴 至賣出區</t>
  </si>
  <si>
    <t>單季 EPS</t>
  </si>
  <si>
    <t>最低價</t>
  </si>
  <si>
    <t>全年合計</t>
  </si>
  <si>
    <t>平均收盤</t>
  </si>
  <si>
    <t>季變化</t>
  </si>
  <si>
    <t>15日漲幅</t>
  </si>
  <si>
    <t>來源：Yahoo奇摩股市（非官方第三方）</t>
  </si>
  <si>
    <t>波動率</t>
  </si>
  <si>
    <t>2324 仁寶 ─ 股價合理性評估</t>
  </si>
  <si>
    <t>股價合理性評估（三法平均）</t>
  </si>
  <si>
    <t>最新收盤</t>
  </si>
  <si>
    <t>股利</t>
  </si>
  <si>
    <t>便宜價</t>
  </si>
  <si>
    <t>合理價</t>
  </si>
  <si>
    <t>貴價</t>
  </si>
  <si>
    <t>每股淨值</t>
  </si>
  <si>
    <t>PER 法</t>
  </si>
  <si>
    <t>PER 倍數</t>
  </si>
  <si>
    <t>PBR 法</t>
  </si>
  <si>
    <t>PBR 倍數</t>
  </si>
  <si>
    <t>殖利率法</t>
  </si>
  <si>
    <t>殖利率</t>
  </si>
  <si>
    <t>三法平均</t>
  </si>
  <si>
    <t>2382 廣達 - 近20日股價追蹤</t>
  </si>
  <si>
    <t>AI伺服器/筆電</t>
  </si>
  <si>
    <t>2382 廣達 ─ 股價合理性評估</t>
  </si>
  <si>
    <t>2395 研華 - 近20日股價追蹤</t>
  </si>
  <si>
    <t>工業電腦</t>
  </si>
  <si>
    <t>20日漲幅</t>
  </si>
  <si>
    <t>2395 研華 ─ 股價合理性評估</t>
  </si>
  <si>
    <t>3231 緯創 - 近20日股價追蹤</t>
  </si>
  <si>
    <t>AI伺服器/EMS</t>
  </si>
  <si>
    <t>3231 緯創 ─ 股價合理性評估</t>
  </si>
  <si>
    <t>2379 瑞昱 - 近20日股價追蹤</t>
  </si>
  <si>
    <t>IC設計</t>
  </si>
  <si>
    <t>2379 瑞昱 ─ 股價合理性評估</t>
  </si>
  <si>
    <t>5388 中磊 - 近20日股價追蹤</t>
  </si>
  <si>
    <t>網通</t>
  </si>
  <si>
    <t>來源：Yahoo（非官方第三方）</t>
  </si>
  <si>
    <t>5388 中磊 ─ 股價合理性評估</t>
  </si>
  <si>
    <t>6285 啟碁 - 近20日股價追蹤</t>
  </si>
  <si>
    <t>6285 啟碁 ─ 股價合理性評估</t>
  </si>
  <si>
    <t>2352 佳世達 - 近20日股價追蹤</t>
  </si>
  <si>
    <t>顯示器/醫療</t>
  </si>
  <si>
    <t>來源：Yahoo基本資料;（非官方第三方）</t>
  </si>
  <si>
    <t>2352 佳世達 ─ 股價合理性評估</t>
  </si>
  <si>
    <t>2376 技嘉 - 近20日股價追蹤</t>
  </si>
  <si>
    <t>主機板/伺服器</t>
  </si>
  <si>
    <t>▼2.2%</t>
  </si>
  <si>
    <t>▲0.2%</t>
  </si>
  <si>
    <t>▼2.9%</t>
  </si>
  <si>
    <t>來源：Yahoo奇摩股市;（非官方第三方）</t>
  </si>
  <si>
    <t>2376 技嘉 ─ 股價合理性評估</t>
  </si>
  <si>
    <t>3034 聯詠 - 近20日股價追蹤</t>
  </si>
  <si>
    <t>3034 聯詠 ─ 股價合理性評估</t>
  </si>
  <si>
    <t>2330 台積電 - 近20日股價追蹤</t>
  </si>
  <si>
    <t>2330 台積電 ─ 股價合理性評估</t>
  </si>
  <si>
    <t>2308 台達電 - 近20日股價追蹤</t>
  </si>
  <si>
    <t>電源/散熱</t>
  </si>
  <si>
    <t>2308 台達電 ─ 股價合理性評估</t>
  </si>
  <si>
    <t>2881 富邦金- 近20日股價追蹤</t>
  </si>
  <si>
    <t>金融</t>
  </si>
  <si>
    <t>Date</t>
  </si>
  <si>
    <t>TAIEX</t>
  </si>
  <si>
    <t>High</t>
  </si>
  <si>
    <t>Low</t>
  </si>
  <si>
    <t>Close</t>
  </si>
  <si>
    <t>Volume (lots)</t>
  </si>
  <si>
    <t>Change %</t>
  </si>
  <si>
    <t>富邦金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</si>
</sst>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0.00%;[Red]\-0.00%"/>
    <numFmt numFmtId="177" formatCode="\▲0.0%;\▼0.0%;\—"/>
    <numFmt numFmtId="178" formatCode="0.0"/>
    <numFmt numFmtId="179" formatCode="\+0.0;\-0.0;0.0"/>
    <numFmt numFmtId="180" formatCode="0.0%"/>
    <numFmt numFmtId="181" formatCode="yyyy\-mm\-dd"/>
    <numFmt numFmtId="182" formatCode="0.0%;[Red]\-0.0%"/>
    <numFmt numFmtId="183" formatCode="0.00;[Red]\-0.00"/>
    <numFmt numFmtId="184" formatCode="yyyy/mm/dd"/>
  </numFmts>
  <fonts count="55" x14ac:knownFonts="1">
    <font>
      <sz val="11"/>
      <color theme="1"/>
      <name val="Calibri"/>
      <family val="2"/>
      <charset val="1"/>
    </font>
    <font>
      <sz val="9"/>
      <name val="Wawati TC"/>
      <family val="3"/>
      <charset val="136"/>
    </font>
    <font>
      <sz val="11"/>
      <color rgb="FF0000FF"/>
      <name val="Calibri"/>
      <family val="2"/>
      <charset val="1"/>
    </font>
    <font>
      <b/>
      <sz val="11"/>
      <color rgb="FFFFFFFF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2"/>
      <color rgb="FFFFFFFF"/>
      <name val="Calibri"/>
      <family val="2"/>
      <charset val="1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  <charset val="1"/>
    </font>
    <font>
      <sz val="11"/>
      <color rgb="FFC00000"/>
      <name val="Calibri"/>
      <family val="2"/>
      <charset val="1"/>
    </font>
    <font>
      <i/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  <charset val="1"/>
    </font>
    <font>
      <b/>
      <sz val="12"/>
      <color rgb="FF375623"/>
      <name val="Calibri"/>
      <family val="2"/>
      <charset val="1"/>
    </font>
    <font>
      <sz val="11"/>
      <color rgb="FF375623"/>
      <name val="Calibri"/>
      <family val="2"/>
      <charset val="1"/>
    </font>
    <font>
      <i/>
      <sz val="8"/>
      <color rgb="FF808080"/>
      <name val="Calibri"/>
      <family val="2"/>
      <charset val="1"/>
    </font>
    <font>
      <b/>
      <sz val="11"/>
      <color rgb="FFFFFFFF"/>
      <name val="Microsoft JhengHei"/>
      <family val="2"/>
      <charset val="136"/>
    </font>
    <font>
      <b/>
      <sz val="11"/>
      <color rgb="FF000000"/>
      <name val="Calibri"/>
      <family val="2"/>
    </font>
    <font>
      <b/>
      <sz val="12"/>
      <color rgb="FF375623"/>
      <name val="Calibri"/>
      <family val="2"/>
    </font>
    <font>
      <i/>
      <sz val="11"/>
      <color rgb="FF000000"/>
      <name val="Calibri"/>
      <family val="2"/>
    </font>
    <font>
      <sz val="11"/>
      <color rgb="FFC00000"/>
      <name val="Calibri"/>
      <family val="2"/>
    </font>
    <font>
      <sz val="11"/>
      <color rgb="FF375623"/>
      <name val="Calibri"/>
      <family val="2"/>
    </font>
    <font>
      <i/>
      <sz val="8"/>
      <color rgb="FF808080"/>
      <name val="Calibri"/>
      <family val="2"/>
    </font>
    <font>
      <i/>
      <sz val="11"/>
      <color rgb="FF808080"/>
      <name val="Calibri"/>
      <family val="2"/>
      <charset val="136"/>
    </font>
    <font>
      <b/>
      <sz val="13"/>
      <color rgb="FFFFFFFF"/>
      <name val="Calibri"/>
      <family val="2"/>
      <charset val="1"/>
    </font>
    <font>
      <b/>
      <sz val="13"/>
      <color rgb="FF375623"/>
      <name val="Calibri"/>
      <family val="2"/>
      <charset val="1"/>
    </font>
    <font>
      <b/>
      <sz val="13"/>
      <color rgb="FFC00000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0"/>
      <color rgb="FF808080"/>
      <name val="Calibri"/>
      <family val="2"/>
      <charset val="1"/>
    </font>
    <font>
      <b/>
      <i/>
      <sz val="11"/>
      <color rgb="FF0000FF"/>
      <name val="Calibri"/>
      <family val="2"/>
      <charset val="1"/>
    </font>
    <font>
      <sz val="11"/>
      <color theme="1"/>
      <name val="Microsoft JhengHei"/>
      <family val="2"/>
      <charset val="136"/>
    </font>
    <font>
      <sz val="14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0"/>
      <color theme="1"/>
      <name val="Calibri"/>
      <family val="2"/>
      <charset val="1"/>
    </font>
    <font>
      <i/>
      <sz val="9"/>
      <color rgb="FF808080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0"/>
      <color theme="1"/>
      <name val="Microsoft JhengHei"/>
      <family val="2"/>
      <charset val="136"/>
    </font>
    <font>
      <b/>
      <sz val="11"/>
      <name val="Calibri"/>
      <family val="2"/>
    </font>
    <font>
      <sz val="12"/>
      <color theme="1"/>
      <name val="Calibri"/>
      <family val="2"/>
    </font>
    <font>
      <sz val="12"/>
      <color rgb="FFFFFFFF"/>
      <name val="Calibri"/>
      <family val="2"/>
    </font>
    <font>
      <sz val="12"/>
      <color theme="1"/>
      <name val="Calibri"/>
      <family val="2"/>
      <charset val="1"/>
    </font>
    <font>
      <sz val="12"/>
      <color rgb="FF0000FF"/>
      <name val="Calibri"/>
      <family val="2"/>
      <charset val="1"/>
    </font>
    <font>
      <i/>
      <sz val="12"/>
      <color rgb="FF808080"/>
      <name val="Calibri"/>
      <family val="2"/>
      <charset val="1"/>
    </font>
    <font>
      <i/>
      <sz val="12"/>
      <color rgb="FFC00000"/>
      <name val="Calibri"/>
      <family val="2"/>
      <charset val="1"/>
    </font>
    <font>
      <sz val="12"/>
      <color rgb="FFFFFFFF"/>
      <name val="Calibri"/>
      <family val="2"/>
      <charset val="1"/>
    </font>
    <font>
      <i/>
      <sz val="12"/>
      <color rgb="FF666666"/>
      <name val="Calibri"/>
      <family val="2"/>
      <charset val="1"/>
    </font>
    <font>
      <sz val="12"/>
      <color theme="1"/>
      <name val="Microsoft JhengHei"/>
      <family val="2"/>
    </font>
    <font>
      <sz val="12"/>
      <color theme="1"/>
      <name val="Microsoft JhengHei"/>
      <family val="2"/>
      <charset val="136"/>
    </font>
    <font>
      <sz val="11"/>
      <color theme="1"/>
      <name val="Calibri"/>
      <family val="2"/>
      <charset val="136"/>
    </font>
    <font>
      <sz val="11"/>
      <color theme="1"/>
      <name val="Microsoft JhengHei"/>
      <family val="2"/>
    </font>
    <font>
      <b/>
      <sz val="11"/>
      <name val="Calibri"/>
      <family val="2"/>
    </font>
    <font>
      <sz val="10"/>
      <color rgb="FF000000"/>
      <name val="Microsoft JhengHei UI"/>
      <family val="1"/>
    </font>
    <font>
      <b/>
      <sz val="10"/>
      <color rgb="FF000000"/>
      <name val="Microsoft JhengHei UI"/>
      <family val="1"/>
    </font>
    <font>
      <sz val="10"/>
      <color rgb="FF000000"/>
      <name val="Microsoft JhengHei UI"/>
      <family val="1"/>
      <charset val="1"/>
    </font>
    <font>
      <b/>
      <sz val="10"/>
      <color rgb="FF000000"/>
      <name val="Microsoft JhengHei UI"/>
      <family val="1"/>
      <charset val="1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5" fillId="0" borderId="0" xfId="0" applyFont="1"/>
    <xf numFmtId="0" fontId="8" fillId="0" borderId="0" xfId="0" applyFont="1"/>
    <xf numFmtId="2" fontId="2" fillId="0" borderId="0" xfId="0" applyNumberFormat="1" applyFont="1"/>
    <xf numFmtId="2" fontId="0" fillId="0" borderId="0" xfId="0" applyNumberFormat="1"/>
    <xf numFmtId="3" fontId="0" fillId="0" borderId="0" xfId="0" applyNumberFormat="1"/>
    <xf numFmtId="176" fontId="0" fillId="0" borderId="0" xfId="0" applyNumberFormat="1"/>
    <xf numFmtId="0" fontId="5" fillId="7" borderId="0" xfId="0" applyFont="1" applyFill="1" applyAlignment="1">
      <alignment horizontal="center"/>
    </xf>
    <xf numFmtId="2" fontId="12" fillId="0" borderId="0" xfId="0" applyNumberFormat="1" applyFont="1" applyAlignment="1">
      <alignment horizontal="center"/>
    </xf>
    <xf numFmtId="0" fontId="10" fillId="0" borderId="0" xfId="0" applyFont="1"/>
    <xf numFmtId="177" fontId="9" fillId="0" borderId="0" xfId="0" applyNumberFormat="1" applyFont="1" applyAlignment="1">
      <alignment horizontal="center"/>
    </xf>
    <xf numFmtId="177" fontId="14" fillId="0" borderId="0" xfId="0" applyNumberFormat="1" applyFont="1" applyAlignment="1">
      <alignment horizontal="center"/>
    </xf>
    <xf numFmtId="0" fontId="15" fillId="0" borderId="0" xfId="0" applyFont="1"/>
    <xf numFmtId="0" fontId="5" fillId="4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17" fillId="0" borderId="0" xfId="0" applyFont="1"/>
    <xf numFmtId="2" fontId="17" fillId="0" borderId="0" xfId="0" applyNumberFormat="1" applyFont="1" applyAlignment="1">
      <alignment horizontal="center"/>
    </xf>
    <xf numFmtId="0" fontId="19" fillId="0" borderId="0" xfId="0" applyFont="1"/>
    <xf numFmtId="0" fontId="11" fillId="0" borderId="0" xfId="0" applyFont="1"/>
    <xf numFmtId="177" fontId="20" fillId="0" borderId="0" xfId="0" applyNumberFormat="1" applyFont="1" applyAlignment="1">
      <alignment horizontal="center"/>
    </xf>
    <xf numFmtId="177" fontId="21" fillId="0" borderId="0" xfId="0" applyNumberFormat="1" applyFont="1" applyAlignment="1">
      <alignment horizontal="center"/>
    </xf>
    <xf numFmtId="10" fontId="0" fillId="0" borderId="0" xfId="0" applyNumberFormat="1"/>
    <xf numFmtId="0" fontId="23" fillId="0" borderId="0" xfId="0" applyFont="1"/>
    <xf numFmtId="2" fontId="5" fillId="0" borderId="0" xfId="0" applyNumberFormat="1" applyFont="1" applyAlignment="1">
      <alignment horizontal="center"/>
    </xf>
    <xf numFmtId="0" fontId="2" fillId="0" borderId="0" xfId="0" applyFont="1"/>
    <xf numFmtId="178" fontId="0" fillId="0" borderId="0" xfId="0" applyNumberFormat="1" applyAlignment="1">
      <alignment horizontal="center"/>
    </xf>
    <xf numFmtId="0" fontId="6" fillId="0" borderId="0" xfId="0" applyFont="1"/>
    <xf numFmtId="0" fontId="6" fillId="3" borderId="0" xfId="0" applyFont="1" applyFill="1"/>
    <xf numFmtId="178" fontId="27" fillId="0" borderId="0" xfId="0" applyNumberFormat="1" applyFont="1" applyAlignment="1">
      <alignment horizontal="center"/>
    </xf>
    <xf numFmtId="0" fontId="28" fillId="0" borderId="0" xfId="0" applyFont="1"/>
    <xf numFmtId="179" fontId="5" fillId="0" borderId="0" xfId="0" applyNumberFormat="1" applyFont="1" applyAlignment="1">
      <alignment horizontal="center"/>
    </xf>
    <xf numFmtId="2" fontId="29" fillId="0" borderId="0" xfId="0" applyNumberFormat="1" applyFont="1"/>
    <xf numFmtId="1" fontId="2" fillId="0" borderId="0" xfId="0" applyNumberFormat="1" applyFont="1" applyAlignment="1">
      <alignment horizontal="center"/>
    </xf>
    <xf numFmtId="178" fontId="2" fillId="0" borderId="0" xfId="0" applyNumberFormat="1" applyFont="1" applyAlignment="1">
      <alignment horizontal="center"/>
    </xf>
    <xf numFmtId="180" fontId="2" fillId="0" borderId="0" xfId="0" applyNumberFormat="1" applyFont="1" applyAlignment="1">
      <alignment horizontal="center"/>
    </xf>
    <xf numFmtId="180" fontId="2" fillId="0" borderId="0" xfId="0" applyNumberFormat="1" applyFont="1"/>
    <xf numFmtId="178" fontId="5" fillId="7" borderId="0" xfId="0" applyNumberFormat="1" applyFont="1" applyFill="1" applyAlignment="1">
      <alignment horizontal="center"/>
    </xf>
    <xf numFmtId="178" fontId="9" fillId="5" borderId="0" xfId="0" applyNumberFormat="1" applyFont="1" applyFill="1" applyAlignment="1">
      <alignment horizontal="center"/>
    </xf>
    <xf numFmtId="0" fontId="30" fillId="0" borderId="0" xfId="0" applyFont="1"/>
    <xf numFmtId="178" fontId="25" fillId="0" borderId="0" xfId="0" applyNumberFormat="1" applyFont="1" applyAlignment="1">
      <alignment horizontal="center"/>
    </xf>
    <xf numFmtId="178" fontId="26" fillId="0" borderId="0" xfId="0" applyNumberFormat="1" applyFont="1" applyAlignment="1">
      <alignment horizontal="center"/>
    </xf>
    <xf numFmtId="4" fontId="0" fillId="0" borderId="0" xfId="0" applyNumberFormat="1"/>
    <xf numFmtId="181" fontId="0" fillId="0" borderId="0" xfId="0" applyNumberFormat="1"/>
    <xf numFmtId="0" fontId="16" fillId="3" borderId="0" xfId="0" applyFont="1" applyFill="1" applyAlignment="1">
      <alignment horizontal="center"/>
    </xf>
    <xf numFmtId="0" fontId="6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5" fillId="11" borderId="0" xfId="0" applyFont="1" applyFill="1" applyAlignment="1">
      <alignment horizontal="center"/>
    </xf>
    <xf numFmtId="0" fontId="0" fillId="11" borderId="0" xfId="0" applyFill="1"/>
    <xf numFmtId="0" fontId="32" fillId="11" borderId="0" xfId="0" applyFont="1" applyFill="1" applyAlignment="1">
      <alignment horizontal="center"/>
    </xf>
    <xf numFmtId="0" fontId="0" fillId="10" borderId="0" xfId="0" applyFill="1"/>
    <xf numFmtId="0" fontId="33" fillId="7" borderId="0" xfId="0" applyFont="1" applyFill="1"/>
    <xf numFmtId="0" fontId="33" fillId="11" borderId="0" xfId="0" applyFont="1" applyFill="1"/>
    <xf numFmtId="178" fontId="5" fillId="11" borderId="0" xfId="0" applyNumberFormat="1" applyFont="1" applyFill="1" applyAlignment="1">
      <alignment horizontal="center"/>
    </xf>
    <xf numFmtId="0" fontId="33" fillId="12" borderId="0" xfId="0" applyFont="1" applyFill="1"/>
    <xf numFmtId="178" fontId="5" fillId="12" borderId="0" xfId="0" applyNumberFormat="1" applyFont="1" applyFill="1" applyAlignment="1">
      <alignment horizontal="center"/>
    </xf>
    <xf numFmtId="0" fontId="33" fillId="5" borderId="0" xfId="0" applyFont="1" applyFill="1"/>
    <xf numFmtId="178" fontId="5" fillId="5" borderId="0" xfId="0" applyNumberFormat="1" applyFont="1" applyFill="1" applyAlignment="1">
      <alignment horizontal="center"/>
    </xf>
    <xf numFmtId="0" fontId="33" fillId="13" borderId="0" xfId="0" applyFont="1" applyFill="1"/>
    <xf numFmtId="178" fontId="5" fillId="13" borderId="0" xfId="0" applyNumberFormat="1" applyFont="1" applyFill="1" applyAlignment="1">
      <alignment horizont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3" fillId="10" borderId="0" xfId="0" applyFont="1" applyFill="1" applyAlignment="1">
      <alignment horizontal="center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33" fillId="7" borderId="0" xfId="0" applyFont="1" applyFill="1" applyAlignment="1">
      <alignment horizontal="center"/>
    </xf>
    <xf numFmtId="178" fontId="33" fillId="7" borderId="0" xfId="0" applyNumberFormat="1" applyFont="1" applyFill="1" applyAlignment="1">
      <alignment horizontal="center"/>
    </xf>
    <xf numFmtId="182" fontId="33" fillId="7" borderId="0" xfId="0" applyNumberFormat="1" applyFont="1" applyFill="1" applyAlignment="1">
      <alignment horizontal="center"/>
    </xf>
    <xf numFmtId="0" fontId="33" fillId="7" borderId="0" xfId="0" applyFont="1" applyFill="1" applyAlignment="1">
      <alignment horizontal="left"/>
    </xf>
    <xf numFmtId="0" fontId="33" fillId="5" borderId="0" xfId="0" applyFont="1" applyFill="1" applyAlignment="1">
      <alignment horizontal="center"/>
    </xf>
    <xf numFmtId="178" fontId="33" fillId="5" borderId="0" xfId="0" applyNumberFormat="1" applyFont="1" applyFill="1" applyAlignment="1">
      <alignment horizontal="center"/>
    </xf>
    <xf numFmtId="182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left"/>
    </xf>
    <xf numFmtId="0" fontId="35" fillId="5" borderId="0" xfId="0" applyFont="1" applyFill="1" applyAlignment="1">
      <alignment horizontal="center"/>
    </xf>
    <xf numFmtId="178" fontId="35" fillId="5" borderId="0" xfId="0" applyNumberFormat="1" applyFont="1" applyFill="1" applyAlignment="1">
      <alignment horizontal="center"/>
    </xf>
    <xf numFmtId="182" fontId="36" fillId="5" borderId="0" xfId="0" applyNumberFormat="1" applyFont="1" applyFill="1" applyAlignment="1">
      <alignment horizontal="center"/>
    </xf>
    <xf numFmtId="0" fontId="0" fillId="7" borderId="0" xfId="0" applyFill="1"/>
    <xf numFmtId="0" fontId="0" fillId="12" borderId="0" xfId="0" applyFill="1"/>
    <xf numFmtId="0" fontId="0" fillId="5" borderId="0" xfId="0" applyFill="1"/>
    <xf numFmtId="0" fontId="0" fillId="13" borderId="0" xfId="0" applyFill="1"/>
    <xf numFmtId="0" fontId="0" fillId="11" borderId="0" xfId="0" applyFill="1" applyAlignment="1">
      <alignment horizontal="left"/>
    </xf>
    <xf numFmtId="0" fontId="0" fillId="12" borderId="0" xfId="0" applyFill="1" applyAlignment="1">
      <alignment horizontal="left"/>
    </xf>
    <xf numFmtId="0" fontId="0" fillId="13" borderId="0" xfId="0" applyFill="1" applyAlignment="1">
      <alignment horizontal="left"/>
    </xf>
    <xf numFmtId="183" fontId="0" fillId="0" borderId="0" xfId="0" applyNumberFormat="1"/>
    <xf numFmtId="0" fontId="37" fillId="0" borderId="0" xfId="0" applyFont="1" applyAlignment="1">
      <alignment horizontal="center"/>
    </xf>
    <xf numFmtId="0" fontId="39" fillId="2" borderId="0" xfId="0" applyFont="1" applyFill="1" applyAlignment="1">
      <alignment horizontal="left"/>
    </xf>
    <xf numFmtId="0" fontId="40" fillId="0" borderId="0" xfId="0" applyFont="1"/>
    <xf numFmtId="184" fontId="41" fillId="0" borderId="0" xfId="0" applyNumberFormat="1" applyFont="1" applyAlignment="1">
      <alignment horizontal="center"/>
    </xf>
    <xf numFmtId="0" fontId="42" fillId="0" borderId="0" xfId="0" applyFont="1"/>
    <xf numFmtId="0" fontId="43" fillId="0" borderId="0" xfId="0" applyFont="1"/>
    <xf numFmtId="0" fontId="44" fillId="3" borderId="0" xfId="0" applyFont="1" applyFill="1" applyAlignment="1">
      <alignment horizontal="center"/>
    </xf>
    <xf numFmtId="0" fontId="40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4" fillId="10" borderId="0" xfId="0" applyFont="1" applyFill="1"/>
    <xf numFmtId="0" fontId="45" fillId="0" borderId="0" xfId="0" applyFont="1"/>
    <xf numFmtId="0" fontId="40" fillId="4" borderId="0" xfId="0" applyFont="1" applyFill="1" applyAlignment="1">
      <alignment horizontal="center"/>
    </xf>
    <xf numFmtId="0" fontId="38" fillId="0" borderId="0" xfId="0" applyFont="1" applyAlignment="1">
      <alignment horizontal="center"/>
    </xf>
    <xf numFmtId="2" fontId="40" fillId="0" borderId="0" xfId="0" applyNumberFormat="1" applyFont="1" applyAlignment="1">
      <alignment horizontal="right"/>
    </xf>
    <xf numFmtId="0" fontId="46" fillId="0" borderId="0" xfId="0" applyFont="1" applyAlignment="1">
      <alignment horizontal="center"/>
    </xf>
    <xf numFmtId="0" fontId="38" fillId="0" borderId="0" xfId="0" applyFont="1"/>
    <xf numFmtId="0" fontId="48" fillId="0" borderId="0" xfId="0" applyFont="1"/>
    <xf numFmtId="0" fontId="49" fillId="0" borderId="0" xfId="0" applyFont="1"/>
    <xf numFmtId="0" fontId="50" fillId="0" borderId="0" xfId="0" applyFont="1" applyAlignment="1">
      <alignment horizontal="center"/>
    </xf>
    <xf numFmtId="0" fontId="4" fillId="2" borderId="0" xfId="0" applyFont="1" applyFill="1"/>
    <xf numFmtId="0" fontId="0" fillId="0" borderId="0" xfId="0"/>
    <xf numFmtId="2" fontId="13" fillId="0" borderId="0" xfId="0" applyNumberFormat="1" applyFont="1" applyAlignment="1">
      <alignment horizontal="center"/>
    </xf>
    <xf numFmtId="0" fontId="24" fillId="2" borderId="0" xfId="0" applyFont="1" applyFill="1"/>
    <xf numFmtId="0" fontId="3" fillId="6" borderId="0" xfId="0" applyFont="1" applyFill="1" applyAlignment="1">
      <alignment horizontal="center"/>
    </xf>
    <xf numFmtId="0" fontId="15" fillId="0" borderId="0" xfId="0" applyFont="1"/>
    <xf numFmtId="0" fontId="6" fillId="2" borderId="0" xfId="0" applyFont="1" applyFill="1"/>
    <xf numFmtId="2" fontId="18" fillId="0" borderId="0" xfId="0" applyNumberFormat="1" applyFont="1" applyAlignment="1">
      <alignment horizontal="center"/>
    </xf>
    <xf numFmtId="0" fontId="22" fillId="0" borderId="0" xfId="0" applyFont="1"/>
    <xf numFmtId="0" fontId="7" fillId="8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0" fontId="47" fillId="0" borderId="0" xfId="0" applyFont="1"/>
    <xf numFmtId="2" fontId="27" fillId="0" borderId="0" xfId="0" applyNumberFormat="1" applyFont="1" applyAlignment="1">
      <alignment horizontal="center"/>
    </xf>
  </cellXfs>
  <cellStyles count="1">
    <cellStyle name="一般" xfId="0" builtinId="0"/>
  </cellStyles>
  <dxfs count="2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CCFFC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D66B68-5B57-1F42-A8ED-B459AB7C46DE}">
  <we:reference id="wa200009404" version="1.0.0.8" store="zh-TW" storeType="OMEX"/>
  <we:alternateReferences>
    <we:reference id="wa200009404" version="1.0.0.8" store="zh-TW" storeType="OMEX"/>
  </we:alternateReferences>
  <we:properties>
    <we:property name="claude.fileId" value="&quot;f01d98d5-30d9-4e4a-ad01-3fe4d53fa11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workbookViewId="0">
      <pane ySplit="5" topLeftCell="A6" activePane="bottomLeft" state="frozen"/>
      <selection activeCell="H18" sqref="H18"/>
      <selection pane="bottomLeft" activeCell="G36" sqref="G36"/>
    </sheetView>
  </sheetViews>
  <sheetFormatPr baseColWidth="10" defaultColWidth="22.33203125" defaultRowHeight="16" x14ac:dyDescent="0.2"/>
  <cols>
    <col min="1" max="1" width="22.33203125" style="88" customWidth="1"/>
    <col min="2" max="16384" width="22.33203125" style="88"/>
  </cols>
  <sheetData>
    <row r="1" spans="1:6" ht="21" customHeight="1" x14ac:dyDescent="0.2">
      <c r="A1" s="87" t="s">
        <v>0</v>
      </c>
    </row>
    <row r="2" spans="1:6" x14ac:dyDescent="0.2">
      <c r="A2" s="88" t="s">
        <v>1</v>
      </c>
      <c r="B2" s="89">
        <v>46142</v>
      </c>
      <c r="D2" s="88" t="s">
        <v>2</v>
      </c>
      <c r="E2" s="90" t="s">
        <v>3</v>
      </c>
    </row>
    <row r="3" spans="1:6" x14ac:dyDescent="0.2">
      <c r="A3" s="91" t="s">
        <v>4</v>
      </c>
    </row>
    <row r="5" spans="1:6" x14ac:dyDescent="0.2">
      <c r="A5" s="92" t="s">
        <v>5</v>
      </c>
      <c r="B5" s="92" t="s">
        <v>6</v>
      </c>
      <c r="C5" s="92" t="s">
        <v>7</v>
      </c>
      <c r="D5" s="92" t="s">
        <v>8</v>
      </c>
      <c r="E5" s="92" t="s">
        <v>9</v>
      </c>
      <c r="F5" s="92" t="s">
        <v>10</v>
      </c>
    </row>
    <row r="6" spans="1:6" x14ac:dyDescent="0.2">
      <c r="A6" s="93">
        <v>1</v>
      </c>
      <c r="B6" s="94">
        <v>2330</v>
      </c>
      <c r="C6" s="88" t="s">
        <v>11</v>
      </c>
      <c r="D6" s="88" t="s">
        <v>12</v>
      </c>
      <c r="E6" s="88" t="s">
        <v>13</v>
      </c>
      <c r="F6" s="88" t="s">
        <v>14</v>
      </c>
    </row>
    <row r="7" spans="1:6" x14ac:dyDescent="0.2">
      <c r="A7" s="93">
        <v>2</v>
      </c>
      <c r="B7" s="94">
        <v>2317</v>
      </c>
      <c r="C7" s="88" t="s">
        <v>15</v>
      </c>
      <c r="D7" s="88" t="s">
        <v>16</v>
      </c>
      <c r="E7" s="88" t="s">
        <v>17</v>
      </c>
      <c r="F7" s="88" t="s">
        <v>14</v>
      </c>
    </row>
    <row r="8" spans="1:6" x14ac:dyDescent="0.2">
      <c r="A8" s="93">
        <v>3</v>
      </c>
      <c r="B8" s="94">
        <v>3443</v>
      </c>
      <c r="C8" s="88" t="s">
        <v>18</v>
      </c>
      <c r="D8" s="88" t="s">
        <v>19</v>
      </c>
      <c r="E8" s="88" t="s">
        <v>20</v>
      </c>
      <c r="F8" s="88" t="s">
        <v>14</v>
      </c>
    </row>
    <row r="9" spans="1:6" x14ac:dyDescent="0.2">
      <c r="A9" s="93">
        <v>4</v>
      </c>
      <c r="B9" s="94">
        <v>2308</v>
      </c>
      <c r="C9" s="88" t="s">
        <v>21</v>
      </c>
      <c r="D9" s="88" t="s">
        <v>22</v>
      </c>
      <c r="E9" s="88" t="s">
        <v>23</v>
      </c>
      <c r="F9" s="88" t="s">
        <v>14</v>
      </c>
    </row>
    <row r="10" spans="1:6" x14ac:dyDescent="0.2">
      <c r="A10" s="93">
        <v>5</v>
      </c>
      <c r="B10" s="94">
        <v>2383</v>
      </c>
      <c r="C10" s="88" t="s">
        <v>24</v>
      </c>
      <c r="D10" s="88" t="s">
        <v>25</v>
      </c>
      <c r="E10" s="88" t="s">
        <v>26</v>
      </c>
      <c r="F10" s="88" t="s">
        <v>14</v>
      </c>
    </row>
    <row r="11" spans="1:6" x14ac:dyDescent="0.2">
      <c r="A11" s="93">
        <v>6</v>
      </c>
      <c r="B11" s="94">
        <v>3017</v>
      </c>
      <c r="C11" s="88" t="s">
        <v>27</v>
      </c>
      <c r="D11" s="88" t="s">
        <v>28</v>
      </c>
      <c r="E11" s="88" t="s">
        <v>29</v>
      </c>
      <c r="F11" s="88" t="s">
        <v>14</v>
      </c>
    </row>
    <row r="12" spans="1:6" x14ac:dyDescent="0.2">
      <c r="A12" s="93">
        <v>7</v>
      </c>
      <c r="B12" s="94">
        <v>2344</v>
      </c>
      <c r="C12" s="88" t="s">
        <v>30</v>
      </c>
      <c r="D12" s="88" t="s">
        <v>31</v>
      </c>
      <c r="E12" s="88" t="s">
        <v>32</v>
      </c>
      <c r="F12" s="88" t="s">
        <v>14</v>
      </c>
    </row>
    <row r="13" spans="1:6" x14ac:dyDescent="0.2">
      <c r="A13" s="93">
        <v>8</v>
      </c>
      <c r="B13" s="94">
        <v>2408</v>
      </c>
      <c r="C13" s="88" t="s">
        <v>33</v>
      </c>
      <c r="D13" s="88" t="s">
        <v>31</v>
      </c>
      <c r="E13" s="88" t="s">
        <v>34</v>
      </c>
      <c r="F13" s="88" t="s">
        <v>14</v>
      </c>
    </row>
    <row r="14" spans="1:6" x14ac:dyDescent="0.2">
      <c r="A14" s="93">
        <v>9</v>
      </c>
      <c r="B14" s="94">
        <v>8996</v>
      </c>
      <c r="C14" s="88" t="s">
        <v>35</v>
      </c>
      <c r="D14" s="88" t="s">
        <v>36</v>
      </c>
      <c r="E14" s="88" t="s">
        <v>37</v>
      </c>
      <c r="F14" s="88" t="s">
        <v>14</v>
      </c>
    </row>
    <row r="15" spans="1:6" x14ac:dyDescent="0.2">
      <c r="A15" s="93">
        <v>10</v>
      </c>
      <c r="B15" s="94">
        <v>2454</v>
      </c>
      <c r="C15" s="88" t="s">
        <v>38</v>
      </c>
      <c r="D15" s="88" t="s">
        <v>39</v>
      </c>
      <c r="E15" s="88" t="s">
        <v>40</v>
      </c>
      <c r="F15" s="88" t="s">
        <v>14</v>
      </c>
    </row>
    <row r="17" spans="1:6" ht="19" customHeight="1" x14ac:dyDescent="0.2">
      <c r="A17" s="95" t="s">
        <v>41</v>
      </c>
    </row>
    <row r="18" spans="1:6" x14ac:dyDescent="0.2">
      <c r="A18" s="96" t="s">
        <v>42</v>
      </c>
    </row>
    <row r="20" spans="1:6" x14ac:dyDescent="0.2">
      <c r="A20" s="97" t="s">
        <v>43</v>
      </c>
      <c r="B20" s="97" t="s">
        <v>44</v>
      </c>
      <c r="C20" s="97" t="s">
        <v>45</v>
      </c>
      <c r="D20" s="97" t="s">
        <v>46</v>
      </c>
      <c r="E20" s="97" t="s">
        <v>47</v>
      </c>
      <c r="F20" s="97" t="s">
        <v>48</v>
      </c>
    </row>
    <row r="21" spans="1:6" ht="19" customHeight="1" x14ac:dyDescent="0.2">
      <c r="A21" s="98">
        <v>2324</v>
      </c>
      <c r="B21" s="88" t="s">
        <v>49</v>
      </c>
      <c r="C21" s="99">
        <f ca="1">'2324 仁寶'!E25</f>
        <v>29</v>
      </c>
      <c r="D21" s="93" t="str">
        <f ca="1">'2324 仁寶'!S15</f>
        <v>🔴 觀望</v>
      </c>
      <c r="E21" s="88" t="str">
        <f ca="1">'2324 仁寶'!R15</f>
        <v>通過 2 / 7  警示 1  危險 3</v>
      </c>
      <c r="F21" s="88" t="str">
        <f ca="1">"買進參考 "&amp;TEXT('2324 仁寶'!R27,"0.0")&amp;" / 賣出參考 "&amp;TEXT('2324 仁寶'!R28,"0.0")</f>
        <v>買進參考 28.2 / 賣出參考 29.8</v>
      </c>
    </row>
    <row r="22" spans="1:6" x14ac:dyDescent="0.2">
      <c r="A22" s="93">
        <v>2352</v>
      </c>
      <c r="B22" s="88" t="s">
        <v>50</v>
      </c>
      <c r="C22" s="99">
        <f ca="1">'2352 佳世達'!E25</f>
        <v>23.9</v>
      </c>
      <c r="D22" s="93" t="str">
        <f ca="1">'2352 佳世達'!S15</f>
        <v>🔴 出場</v>
      </c>
      <c r="E22" s="88" t="str">
        <f ca="1">'2352 佳世達'!R15</f>
        <v>通過 2 / 7  警示 0  危險 4</v>
      </c>
      <c r="F22" s="88" t="str">
        <f ca="1">"買進參考 "&amp;TEXT('2352 佳世達'!R27,"0.0")&amp;" / 賣出參考 "&amp;TEXT('2352 佳世達'!R28,"0.0")</f>
        <v>買進參考 23.5 / 賣出參考 24.3</v>
      </c>
    </row>
    <row r="23" spans="1:6" x14ac:dyDescent="0.2">
      <c r="A23" s="93">
        <v>2376</v>
      </c>
      <c r="B23" s="88" t="s">
        <v>51</v>
      </c>
      <c r="C23" s="99">
        <f ca="1">'2376 技嘉'!E25</f>
        <v>273</v>
      </c>
      <c r="D23" s="93" t="str">
        <f ca="1">'2376 技嘉'!S15</f>
        <v>🔴 觀望</v>
      </c>
      <c r="E23" s="88" t="str">
        <f ca="1">'2376 技嘉'!R15</f>
        <v>通過 2 / 7  警示 1  危險 3</v>
      </c>
      <c r="F23" s="88" t="str">
        <f ca="1">"買進參考 "&amp;TEXT('2376 技嘉'!R27,"0.0")&amp;" / 賣出參考 "&amp;TEXT('2376 技嘉'!R28,"0.0")</f>
        <v>買進參考 263.9 / 賣出參考 282.1</v>
      </c>
    </row>
    <row r="24" spans="1:6" x14ac:dyDescent="0.2">
      <c r="A24" s="93">
        <v>2379</v>
      </c>
      <c r="B24" s="88" t="s">
        <v>52</v>
      </c>
      <c r="C24" s="99">
        <f ca="1">'2379 瑞昱'!E25</f>
        <v>537</v>
      </c>
      <c r="D24" s="93" t="str">
        <f ca="1">'2379 瑞昱'!S15</f>
        <v>🔴 觀望</v>
      </c>
      <c r="E24" s="88" t="str">
        <f ca="1">'2379 瑞昱'!R15</f>
        <v>通過 2 / 7  警示 2  危險 2</v>
      </c>
      <c r="F24" s="88" t="str">
        <f ca="1">"買進參考 "&amp;TEXT('2379 瑞昱'!R27,"0.0")&amp;" / 賣出參考 "&amp;TEXT('2379 瑞昱'!R28,"0.0")</f>
        <v>買進參考 525.6 / 賣出參考 548.6</v>
      </c>
    </row>
    <row r="25" spans="1:6" x14ac:dyDescent="0.2">
      <c r="A25" s="98">
        <v>2382</v>
      </c>
      <c r="B25" s="88" t="s">
        <v>53</v>
      </c>
      <c r="C25" s="99">
        <f ca="1">'2382 廣達'!E25</f>
        <v>312.5</v>
      </c>
      <c r="D25" s="93" t="str">
        <f ca="1">'2382 廣達'!S15</f>
        <v>🔴 觀望</v>
      </c>
      <c r="E25" s="88" t="str">
        <f ca="1">'2382 廣達'!R15</f>
        <v>通過 2 / 7  警示 2  危險 2</v>
      </c>
      <c r="F25" s="88" t="str">
        <f ca="1">"買進參考 "&amp;TEXT('2382 廣達'!R27,"0.0")&amp;" / 賣出參考 "&amp;TEXT('2382 廣達'!R28,"0.0")</f>
        <v>買進參考 304.0 / 賣出參考 321.0</v>
      </c>
    </row>
    <row r="26" spans="1:6" x14ac:dyDescent="0.2">
      <c r="A26" s="93">
        <v>2395</v>
      </c>
      <c r="B26" s="88" t="s">
        <v>54</v>
      </c>
      <c r="C26" s="99">
        <f ca="1">'2395 研華'!E25</f>
        <v>359.5</v>
      </c>
      <c r="D26" s="93" t="str">
        <f ca="1">'2395 研華'!S15</f>
        <v>🟡 等待</v>
      </c>
      <c r="E26" s="88" t="str">
        <f ca="1">'2395 研華'!R15</f>
        <v>通過 3 / 7  警示 2  危險 1</v>
      </c>
      <c r="F26" s="88" t="str">
        <f ca="1">"買進參考 "&amp;TEXT('2395 研華'!R27,"0.0")&amp;" / 賣出參考 "&amp;TEXT('2395 研華'!R28,"0.0")</f>
        <v>買進參考 351.1 / 賣出參考 367.9</v>
      </c>
    </row>
    <row r="27" spans="1:6" x14ac:dyDescent="0.2">
      <c r="A27" s="98">
        <v>3034</v>
      </c>
      <c r="B27" s="88" t="s">
        <v>55</v>
      </c>
      <c r="C27" s="99">
        <f ca="1">'3034 聯詠'!E25</f>
        <v>409</v>
      </c>
      <c r="D27" s="93" t="str">
        <f ca="1">'3034 聯詠'!S15</f>
        <v>🔴 觀望</v>
      </c>
      <c r="E27" s="88" t="str">
        <f ca="1">'3034 聯詠'!R15</f>
        <v>通過 3 / 7  警示 0  危險 3</v>
      </c>
      <c r="F27" s="88" t="str">
        <f ca="1">"買進參考 "&amp;TEXT('3034 聯詠'!R27,"0.0")&amp;" / 賣出參考 "&amp;TEXT('3034 聯詠'!R28,"0.0")</f>
        <v>買進參考 400.0 / 賣出參考 418.0</v>
      </c>
    </row>
    <row r="28" spans="1:6" x14ac:dyDescent="0.2">
      <c r="A28" s="93">
        <v>3231</v>
      </c>
      <c r="B28" s="88" t="s">
        <v>56</v>
      </c>
      <c r="C28" s="99">
        <f ca="1">'3231 緯創'!E25</f>
        <v>137</v>
      </c>
      <c r="D28" s="93" t="str">
        <f ca="1">'3231 緯創'!S15</f>
        <v>🔴 觀望</v>
      </c>
      <c r="E28" s="88" t="str">
        <f ca="1">'3231 緯創'!R15</f>
        <v>通過 2 / 7  警示 1  危險 3</v>
      </c>
      <c r="F28" s="88" t="str">
        <f ca="1">"買進參考 "&amp;TEXT('3231 緯創'!R27,"0.0")&amp;" / 賣出參考 "&amp;TEXT('3231 緯創'!R28,"0.0")</f>
        <v>買進參考 133.9 / 賣出參考 140.4</v>
      </c>
    </row>
    <row r="29" spans="1:6" x14ac:dyDescent="0.2">
      <c r="A29" s="98">
        <v>5388</v>
      </c>
      <c r="B29" s="88" t="s">
        <v>57</v>
      </c>
      <c r="C29" s="99">
        <f ca="1">'5388 中磊'!E25</f>
        <v>76.5</v>
      </c>
      <c r="D29" s="93" t="str">
        <f ca="1">'5388 中磊'!S15</f>
        <v>🔴 出場</v>
      </c>
      <c r="E29" s="88" t="str">
        <f ca="1">'5388 中磊'!R15</f>
        <v>通過 1 / 7  警示 1  危險 4</v>
      </c>
      <c r="F29" s="88" t="str">
        <f ca="1">"買進參考 "&amp;TEXT('5388 中磊'!R27,"0.0")&amp;" / 賣出參考 "&amp;TEXT('5388 中磊'!R28,"0.0")</f>
        <v>買進參考 74.6 / 賣出參考 78.4</v>
      </c>
    </row>
    <row r="30" spans="1:6" x14ac:dyDescent="0.2">
      <c r="A30" s="93">
        <v>6285</v>
      </c>
      <c r="B30" s="88" t="s">
        <v>58</v>
      </c>
      <c r="C30" s="99">
        <f ca="1">'6285 啟碁'!E25</f>
        <v>216</v>
      </c>
      <c r="D30" s="93" t="str">
        <f ca="1">'6285 啟碁'!S15</f>
        <v>🟡 等待</v>
      </c>
      <c r="E30" s="88" t="str">
        <f ca="1">'6285 啟碁'!R15</f>
        <v>通過 3 / 7  警示 2  危險 1</v>
      </c>
      <c r="F30" s="88" t="str">
        <f ca="1">"買進參考 "&amp;TEXT('6285 啟碁'!R27,"0.0")&amp;" / 賣出參考 "&amp;TEXT('6285 啟碁'!R28,"0.0")</f>
        <v>買進參考 202.4 / 賣出參考 229.6</v>
      </c>
    </row>
    <row r="31" spans="1:6" x14ac:dyDescent="0.2">
      <c r="A31" s="98">
        <v>2308</v>
      </c>
      <c r="B31" s="88" t="s">
        <v>21</v>
      </c>
      <c r="C31" s="99">
        <f ca="1">'2308 台達電'!E25</f>
        <v>2165</v>
      </c>
      <c r="D31" s="93" t="str">
        <f ca="1">'2308 台達電'!S15</f>
        <v>🟡 等待</v>
      </c>
      <c r="E31" s="88" t="str">
        <f ca="1">'2308 台達電'!R15</f>
        <v>通過 3 / 7  警示 3  危險 0</v>
      </c>
      <c r="F31" s="88" t="str">
        <f ca="1">"買進參考 "&amp;TEXT('2308 台達電'!R27,"0.0")&amp;" / 賣出參考 "&amp;TEXT('2308 台達電'!R28,"0.0")</f>
        <v>買進參考 2089.8 / 賣出參考 2240.2</v>
      </c>
    </row>
    <row r="32" spans="1:6" x14ac:dyDescent="0.2">
      <c r="A32" s="93">
        <v>2330</v>
      </c>
      <c r="B32" s="88" t="s">
        <v>11</v>
      </c>
      <c r="C32" s="99">
        <f ca="1">'2330 台積電'!E25</f>
        <v>2135</v>
      </c>
      <c r="D32" s="93" t="str">
        <f ca="1">'2330 台積電'!S15</f>
        <v>🟡 等待</v>
      </c>
      <c r="E32" s="88" t="str">
        <f ca="1">'2330 台積電'!R15</f>
        <v>通過 3 / 7  警示 2  危險 1</v>
      </c>
      <c r="F32" s="88" t="str">
        <f ca="1">"買進參考 "&amp;TEXT('2330 台積電'!R27,"0.0")&amp;" / 賣出參考 "&amp;TEXT('2330 台積電'!R28,"0.0")</f>
        <v>買進參考 2083.5 / 賣出參考 2196.0</v>
      </c>
    </row>
    <row r="33" spans="1:6" ht="18" x14ac:dyDescent="0.25">
      <c r="A33" s="93">
        <v>2881</v>
      </c>
      <c r="B33" s="116" t="s">
        <v>199</v>
      </c>
      <c r="C33" s="99">
        <f ca="1">'2881 富邦金'!E25</f>
        <v>90</v>
      </c>
      <c r="D33" s="93" t="str">
        <f ca="1">'2881 富邦金'!S15</f>
        <v>🟢 次強進場</v>
      </c>
      <c r="E33" s="88" t="str">
        <f ca="1">'2881 富邦金'!R15</f>
        <v>通過 5 / 7  警示 1  危險 0</v>
      </c>
      <c r="F33" s="88" t="str">
        <f ca="1">"買進參考 "&amp;TEXT('2881 富邦金'!R27,"0.0")&amp;" / 賣出參考 "&amp;TEXT('2881 富邦金'!R28,"0.0")</f>
        <v>買進參考 89.0 / 賣出參考 91.0</v>
      </c>
    </row>
    <row r="34" spans="1:6" ht="19" customHeight="1" x14ac:dyDescent="0.2">
      <c r="A34" s="95" t="s">
        <v>59</v>
      </c>
    </row>
    <row r="35" spans="1:6" ht="24" customHeight="1" x14ac:dyDescent="0.2">
      <c r="A35" s="88" t="s">
        <v>60</v>
      </c>
      <c r="B35" s="88" t="s">
        <v>61</v>
      </c>
      <c r="C35" s="88" t="s">
        <v>62</v>
      </c>
      <c r="D35" s="88" t="s">
        <v>63</v>
      </c>
      <c r="E35" s="88" t="s">
        <v>64</v>
      </c>
      <c r="F35" s="88" t="s">
        <v>65</v>
      </c>
    </row>
    <row r="38" spans="1:6" ht="17" customHeight="1" x14ac:dyDescent="0.25">
      <c r="A38" s="100" t="s">
        <v>66</v>
      </c>
      <c r="B38" s="93">
        <v>2352</v>
      </c>
      <c r="C38" s="88" t="s">
        <v>50</v>
      </c>
      <c r="D38" s="99">
        <v>23.9</v>
      </c>
    </row>
    <row r="39" spans="1:6" ht="17" customHeight="1" x14ac:dyDescent="0.25">
      <c r="A39" s="100" t="s">
        <v>66</v>
      </c>
      <c r="B39" s="98">
        <v>5388</v>
      </c>
      <c r="C39" s="88" t="s">
        <v>57</v>
      </c>
      <c r="D39" s="88">
        <v>76.5</v>
      </c>
    </row>
    <row r="40" spans="1:6" x14ac:dyDescent="0.2">
      <c r="A40" s="101"/>
    </row>
    <row r="42" spans="1:6" x14ac:dyDescent="0.2">
      <c r="A42" s="101"/>
    </row>
    <row r="43" spans="1:6" x14ac:dyDescent="0.2">
      <c r="A43" s="88" t="s">
        <v>67</v>
      </c>
    </row>
    <row r="44" spans="1:6" ht="19" customHeight="1" x14ac:dyDescent="0.2">
      <c r="A44" s="101"/>
    </row>
    <row r="45" spans="1:6" ht="17" customHeight="1" x14ac:dyDescent="0.25">
      <c r="A45" s="100"/>
    </row>
    <row r="48" spans="1:6" x14ac:dyDescent="0.2">
      <c r="A48" s="101"/>
    </row>
    <row r="50" spans="1:1" x14ac:dyDescent="0.2">
      <c r="A50" s="101"/>
    </row>
    <row r="52" spans="1:1" x14ac:dyDescent="0.2">
      <c r="A52" s="101"/>
    </row>
    <row r="54" spans="1:1" ht="24" customHeight="1" x14ac:dyDescent="0.2">
      <c r="A54" s="101"/>
    </row>
    <row r="58" spans="1:1" x14ac:dyDescent="0.2">
      <c r="A58" s="101"/>
    </row>
    <row r="60" spans="1:1" x14ac:dyDescent="0.2">
      <c r="A60" s="101"/>
    </row>
    <row r="62" spans="1:1" x14ac:dyDescent="0.2">
      <c r="A62" s="101"/>
    </row>
    <row r="64" spans="1:1" x14ac:dyDescent="0.2">
      <c r="A64" s="101"/>
    </row>
    <row r="70" spans="1:1" ht="16" customHeight="1" x14ac:dyDescent="0.2">
      <c r="A70" s="101"/>
    </row>
    <row r="72" spans="1:1" x14ac:dyDescent="0.2">
      <c r="A72" s="101"/>
    </row>
    <row r="77" spans="1:1" x14ac:dyDescent="0.2">
      <c r="A77" s="101"/>
    </row>
    <row r="81" spans="1:1" x14ac:dyDescent="0.2">
      <c r="A81" s="101"/>
    </row>
    <row r="85" spans="1:1" ht="16" customHeight="1" x14ac:dyDescent="0.2">
      <c r="A85" s="101"/>
    </row>
    <row r="87" spans="1:1" x14ac:dyDescent="0.2">
      <c r="A87" s="101"/>
    </row>
    <row r="92" spans="1:1" x14ac:dyDescent="0.2">
      <c r="A92" s="101"/>
    </row>
    <row r="94" spans="1:1" x14ac:dyDescent="0.2">
      <c r="A94" s="101"/>
    </row>
    <row r="95" spans="1:1" x14ac:dyDescent="0.2">
      <c r="A95" s="101"/>
    </row>
    <row r="99" spans="1:1" ht="16" customHeight="1" x14ac:dyDescent="0.2">
      <c r="A99" s="101"/>
    </row>
    <row r="101" spans="1:1" x14ac:dyDescent="0.2">
      <c r="A101" s="101"/>
    </row>
    <row r="106" spans="1:1" x14ac:dyDescent="0.2">
      <c r="A106" s="101"/>
    </row>
    <row r="111" spans="1:1" x14ac:dyDescent="0.2">
      <c r="A111" s="101"/>
    </row>
    <row r="114" spans="1:1" x14ac:dyDescent="0.2">
      <c r="A114" s="101"/>
    </row>
  </sheetData>
  <phoneticPr fontId="1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9"/>
  <sheetViews>
    <sheetView tabSelected="1" workbookViewId="0">
      <pane ySplit="5" topLeftCell="A6" activePane="bottomLeft" state="frozen"/>
      <selection activeCell="H18" sqref="H18"/>
      <selection pane="bottomLeft" activeCell="N13" sqref="N13"/>
    </sheetView>
  </sheetViews>
  <sheetFormatPr baseColWidth="10" defaultRowHeight="15" x14ac:dyDescent="0.2"/>
  <cols>
    <col min="1" max="1" width="11.1640625" bestFit="1" customWidth="1"/>
    <col min="2" max="2" width="11.83203125" bestFit="1" customWidth="1"/>
    <col min="3" max="3" width="8.33203125" bestFit="1" customWidth="1"/>
    <col min="4" max="4" width="9.33203125" bestFit="1" customWidth="1"/>
    <col min="5" max="5" width="8.33203125" bestFit="1" customWidth="1"/>
    <col min="6" max="6" width="10.33203125" bestFit="1" customWidth="1"/>
    <col min="7" max="7" width="10" bestFit="1" customWidth="1"/>
    <col min="8" max="9" width="7.5" bestFit="1" customWidth="1"/>
    <col min="10" max="10" width="6.8320312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83203125" bestFit="1" customWidth="1"/>
    <col min="15" max="15" width="10.5" bestFit="1" customWidth="1"/>
    <col min="16" max="16" width="9.1640625" customWidth="1"/>
    <col min="17" max="17" width="14.1640625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68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70</v>
      </c>
    </row>
    <row r="3" spans="1:20" x14ac:dyDescent="0.2">
      <c r="A3" s="1" t="s">
        <v>2</v>
      </c>
      <c r="B3" s="24">
        <v>2324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27.7</v>
      </c>
      <c r="D6" s="43">
        <f t="array" aca="1" ref="D6" ca="1">INDIRECT("'"&amp;$B$3&amp;"'!"&amp;CHAR(64+COLUMN())&amp;(ROW()-4))</f>
        <v>26.95</v>
      </c>
      <c r="E6" s="43">
        <f t="array" aca="1" ref="E6" ca="1">INDIRECT("'"&amp;$B$3&amp;"'!"&amp;CHAR(64+COLUMN())&amp;(ROW()-4))</f>
        <v>27.45</v>
      </c>
      <c r="F6" s="43">
        <f t="array" aca="1" ref="F6" ca="1">INDIRECT("'"&amp;$B$3&amp;"'!"&amp;CHAR(64+COLUMN())&amp;(ROW()-4))</f>
        <v>34084</v>
      </c>
      <c r="G6" s="43">
        <f t="array" aca="1" ref="G6" ca="1">INDIRECT("'"&amp;$B$3&amp;"'!"&amp;CHAR(64+COLUMN())&amp;(ROW()-4))</f>
        <v>1.855287569573284</v>
      </c>
      <c r="H6" s="43">
        <f t="array" aca="1" ref="H6" ca="1">INDIRECT("'"&amp;$B$3&amp;"'!"&amp;CHAR(64+COLUMN())&amp;(ROW()-4))</f>
        <v>28.88</v>
      </c>
      <c r="I6" s="43">
        <f t="array" aca="1" ref="I6" ca="1">INDIRECT("'"&amp;$B$3&amp;"'!"&amp;CHAR(64+COLUMN())&amp;(ROW()-4))</f>
        <v>30.59</v>
      </c>
      <c r="J6" s="43">
        <f t="array" aca="1" ref="J6" ca="1">INDIRECT("'"&amp;$B$3&amp;"'!"&amp;CHAR(64+COLUMN())&amp;(ROW()-4))</f>
        <v>31.237500000000001</v>
      </c>
      <c r="K6" s="43">
        <f t="array" aca="1" ref="K6" ca="1">INDIRECT("'"&amp;$B$3&amp;"'!"&amp;CHAR(64+COLUMN())&amp;(ROW()-4))</f>
        <v>19.637594112000471</v>
      </c>
      <c r="L6" s="43">
        <f t="array" aca="1" ref="L6" ca="1">INDIRECT("'"&amp;$B$3&amp;"'!"&amp;CHAR(64+COLUMN())&amp;(ROW()-4))</f>
        <v>28.89693400902695</v>
      </c>
      <c r="M6" s="43">
        <f t="array" aca="1" ref="M6" ca="1">INDIRECT("'"&amp;$B$3&amp;"'!"&amp;CHAR(64+COLUMN())&amp;(ROW()-4))</f>
        <v>10.593780874835851</v>
      </c>
      <c r="N6" s="43">
        <f t="array" aca="1" ref="N6" ca="1">INDIRECT("'"&amp;$B$3&amp;"'!"&amp;CHAR(64+COLUMN())&amp;(ROW()-4))</f>
        <v>20.699363879974261</v>
      </c>
      <c r="O6" s="43">
        <f t="array" aca="1" ref="O6" ca="1">INDIRECT("'"&amp;$B$3&amp;"'!"&amp;CHAR(64+COLUMN())&amp;(ROW()-4))</f>
        <v>-0.59574372005737508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27.75</v>
      </c>
      <c r="D7" s="43">
        <f t="array" aca="1" ref="D7" ca="1">INDIRECT("'"&amp;$B$3&amp;"'!"&amp;CHAR(64+COLUMN())&amp;(ROW()-4))</f>
        <v>27</v>
      </c>
      <c r="E7" s="43">
        <f t="array" aca="1" ref="E7" ca="1">INDIRECT("'"&amp;$B$3&amp;"'!"&amp;CHAR(64+COLUMN())&amp;(ROW()-4))</f>
        <v>27.4</v>
      </c>
      <c r="F7" s="43">
        <f t="array" aca="1" ref="F7" ca="1">INDIRECT("'"&amp;$B$3&amp;"'!"&amp;CHAR(64+COLUMN())&amp;(ROW()-4))</f>
        <v>20383</v>
      </c>
      <c r="G7" s="43">
        <f t="array" aca="1" ref="G7" ca="1">INDIRECT("'"&amp;$B$3&amp;"'!"&amp;CHAR(64+COLUMN())&amp;(ROW()-4))</f>
        <v>-0.1821493624772339</v>
      </c>
      <c r="H7" s="43">
        <f t="array" aca="1" ref="H7" ca="1">INDIRECT("'"&amp;$B$3&amp;"'!"&amp;CHAR(64+COLUMN())&amp;(ROW()-4))</f>
        <v>28.06</v>
      </c>
      <c r="I7" s="43">
        <f t="array" aca="1" ref="I7" ca="1">INDIRECT("'"&amp;$B$3&amp;"'!"&amp;CHAR(64+COLUMN())&amp;(ROW()-4))</f>
        <v>30.07</v>
      </c>
      <c r="J7" s="43">
        <f t="array" aca="1" ref="J7" ca="1">INDIRECT("'"&amp;$B$3&amp;"'!"&amp;CHAR(64+COLUMN())&amp;(ROW()-4))</f>
        <v>31.087500000000009</v>
      </c>
      <c r="K7" s="43">
        <f t="array" aca="1" ref="K7" ca="1">INDIRECT("'"&amp;$B$3&amp;"'!"&amp;CHAR(64+COLUMN())&amp;(ROW()-4))</f>
        <v>19.399022947272101</v>
      </c>
      <c r="L7" s="43">
        <f t="array" aca="1" ref="L7" ca="1">INDIRECT("'"&amp;$B$3&amp;"'!"&amp;CHAR(64+COLUMN())&amp;(ROW()-4))</f>
        <v>28.710340232367241</v>
      </c>
      <c r="M7" s="43">
        <f t="array" aca="1" ref="M7" ca="1">INDIRECT("'"&amp;$B$3&amp;"'!"&amp;CHAR(64+COLUMN())&amp;(ROW()-4))</f>
        <v>9.8194128138003247</v>
      </c>
      <c r="N7" s="43">
        <f t="array" aca="1" ref="N7" ca="1">INDIRECT("'"&amp;$B$3&amp;"'!"&amp;CHAR(64+COLUMN())&amp;(ROW()-4))</f>
        <v>17.072713524582952</v>
      </c>
      <c r="O7" s="43">
        <f t="array" aca="1" ref="O7" ca="1">INDIRECT("'"&amp;$B$3&amp;"'!"&amp;CHAR(64+COLUMN())&amp;(ROW()-4))</f>
        <v>-0.60163434654857384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27.3</v>
      </c>
      <c r="D8" s="43">
        <f t="array" aca="1" ref="D8" ca="1">INDIRECT("'"&amp;$B$3&amp;"'!"&amp;CHAR(64+COLUMN())&amp;(ROW()-4))</f>
        <v>26.85</v>
      </c>
      <c r="E8" s="43">
        <f t="array" aca="1" ref="E8" ca="1">INDIRECT("'"&amp;$B$3&amp;"'!"&amp;CHAR(64+COLUMN())&amp;(ROW()-4))</f>
        <v>26.85</v>
      </c>
      <c r="F8" s="43">
        <f t="array" aca="1" ref="F8" ca="1">INDIRECT("'"&amp;$B$3&amp;"'!"&amp;CHAR(64+COLUMN())&amp;(ROW()-4))</f>
        <v>19351</v>
      </c>
      <c r="G8" s="43">
        <f t="array" aca="1" ref="G8" ca="1">INDIRECT("'"&amp;$B$3&amp;"'!"&amp;CHAR(64+COLUMN())&amp;(ROW()-4))</f>
        <v>-2.0072992700729819</v>
      </c>
      <c r="H8" s="43">
        <f t="array" aca="1" ref="H8" ca="1">INDIRECT("'"&amp;$B$3&amp;"'!"&amp;CHAR(64+COLUMN())&amp;(ROW()-4))</f>
        <v>27.38</v>
      </c>
      <c r="I8" s="43">
        <f t="array" aca="1" ref="I8" ca="1">INDIRECT("'"&amp;$B$3&amp;"'!"&amp;CHAR(64+COLUMN())&amp;(ROW()-4))</f>
        <v>29.454999999999998</v>
      </c>
      <c r="J8" s="43">
        <f t="array" aca="1" ref="J8" ca="1">INDIRECT("'"&amp;$B$3&amp;"'!"&amp;CHAR(64+COLUMN())&amp;(ROW()-4))</f>
        <v>30.857500000000009</v>
      </c>
      <c r="K8" s="43">
        <f t="array" aca="1" ref="K8" ca="1">INDIRECT("'"&amp;$B$3&amp;"'!"&amp;CHAR(64+COLUMN())&amp;(ROW()-4))</f>
        <v>16.718067073327109</v>
      </c>
      <c r="L8" s="43">
        <f t="array" aca="1" ref="L8" ca="1">INDIRECT("'"&amp;$B$3&amp;"'!"&amp;CHAR(64+COLUMN())&amp;(ROW()-4))</f>
        <v>26.64565860138282</v>
      </c>
      <c r="M8" s="43">
        <f t="array" aca="1" ref="M8" ca="1">INDIRECT("'"&amp;$B$3&amp;"'!"&amp;CHAR(64+COLUMN())&amp;(ROW()-4))</f>
        <v>6.5462752092002159</v>
      </c>
      <c r="N8" s="43">
        <f t="array" aca="1" ref="N8" ca="1">INDIRECT("'"&amp;$B$3&amp;"'!"&amp;CHAR(64+COLUMN())&amp;(ROW()-4))</f>
        <v>13.563900752788699</v>
      </c>
      <c r="O8" s="43">
        <f t="array" aca="1" ref="O8" ca="1">INDIRECT("'"&amp;$B$3&amp;"'!"&amp;CHAR(64+COLUMN())&amp;(ROW()-4))</f>
        <v>-0.60626194240677356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MA10=30.5  MA20=29.4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27.9</v>
      </c>
      <c r="D9" s="43">
        <f t="array" aca="1" ref="D9" ca="1">INDIRECT("'"&amp;$B$3&amp;"'!"&amp;CHAR(64+COLUMN())&amp;(ROW()-4))</f>
        <v>26.75</v>
      </c>
      <c r="E9" s="43">
        <f t="array" aca="1" ref="E9" ca="1">INDIRECT("'"&amp;$B$3&amp;"'!"&amp;CHAR(64+COLUMN())&amp;(ROW()-4))</f>
        <v>27.9</v>
      </c>
      <c r="F9" s="43">
        <f t="array" aca="1" ref="F9" ca="1">INDIRECT("'"&amp;$B$3&amp;"'!"&amp;CHAR(64+COLUMN())&amp;(ROW()-4))</f>
        <v>32325</v>
      </c>
      <c r="G9" s="43">
        <f t="array" aca="1" ref="G9" ca="1">INDIRECT("'"&amp;$B$3&amp;"'!"&amp;CHAR(64+COLUMN())&amp;(ROW()-4))</f>
        <v>3.9106145251396538</v>
      </c>
      <c r="H9" s="43">
        <f t="array" aca="1" ref="H9" ca="1">INDIRECT("'"&amp;$B$3&amp;"'!"&amp;CHAR(64+COLUMN())&amp;(ROW()-4))</f>
        <v>27.31</v>
      </c>
      <c r="I9" s="43">
        <f t="array" aca="1" ref="I9" ca="1">INDIRECT("'"&amp;$B$3&amp;"'!"&amp;CHAR(64+COLUMN())&amp;(ROW()-4))</f>
        <v>28.974999999999991</v>
      </c>
      <c r="J9" s="43">
        <f t="array" aca="1" ref="J9" ca="1">INDIRECT("'"&amp;$B$3&amp;"'!"&amp;CHAR(64+COLUMN())&amp;(ROW()-4))</f>
        <v>30.687499999999989</v>
      </c>
      <c r="K9" s="43">
        <f t="array" aca="1" ref="K9" ca="1">INDIRECT("'"&amp;$B$3&amp;"'!"&amp;CHAR(64+COLUMN())&amp;(ROW()-4))</f>
        <v>36.744932807932642</v>
      </c>
      <c r="L9" s="43">
        <f t="array" aca="1" ref="L9" ca="1">INDIRECT("'"&amp;$B$3&amp;"'!"&amp;CHAR(64+COLUMN())&amp;(ROW()-4))</f>
        <v>36.200953852941083</v>
      </c>
      <c r="M9" s="43">
        <f t="array" aca="1" ref="M9" ca="1">INDIRECT("'"&amp;$B$3&amp;"'!"&amp;CHAR(64+COLUMN())&amp;(ROW()-4))</f>
        <v>11.271090379707051</v>
      </c>
      <c r="N9" s="43">
        <f t="array" aca="1" ref="N9" ca="1">INDIRECT("'"&amp;$B$3&amp;"'!"&amp;CHAR(64+COLUMN())&amp;(ROW()-4))</f>
        <v>12.799630628428149</v>
      </c>
      <c r="O9" s="43">
        <f t="array" aca="1" ref="O9" ca="1">INDIRECT("'"&amp;$B$3&amp;"'!"&amp;CHAR(64+COLUMN())&amp;(ROW()-4))</f>
        <v>-0.50636525320236281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KD金叉:✗(K=18)  RSI6:34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27.75</v>
      </c>
      <c r="D10" s="43">
        <f t="array" aca="1" ref="D10" ca="1">INDIRECT("'"&amp;$B$3&amp;"'!"&amp;CHAR(64+COLUMN())&amp;(ROW()-4))</f>
        <v>27</v>
      </c>
      <c r="E10" s="43">
        <f t="array" aca="1" ref="E10" ca="1">INDIRECT("'"&amp;$B$3&amp;"'!"&amp;CHAR(64+COLUMN())&amp;(ROW()-4))</f>
        <v>27.3</v>
      </c>
      <c r="F10" s="43">
        <f t="array" aca="1" ref="F10" ca="1">INDIRECT("'"&amp;$B$3&amp;"'!"&amp;CHAR(64+COLUMN())&amp;(ROW()-4))</f>
        <v>28992</v>
      </c>
      <c r="G10" s="43">
        <f t="array" aca="1" ref="G10" ca="1">INDIRECT("'"&amp;$B$3&amp;"'!"&amp;CHAR(64+COLUMN())&amp;(ROW()-4))</f>
        <v>-2.1505376344085949</v>
      </c>
      <c r="H10" s="43">
        <f t="array" aca="1" ref="H10" ca="1">INDIRECT("'"&amp;$B$3&amp;"'!"&amp;CHAR(64+COLUMN())&amp;(ROW()-4))</f>
        <v>27.38</v>
      </c>
      <c r="I10" s="43">
        <f t="array" aca="1" ref="I10" ca="1">INDIRECT("'"&amp;$B$3&amp;"'!"&amp;CHAR(64+COLUMN())&amp;(ROW()-4))</f>
        <v>28.535</v>
      </c>
      <c r="J10" s="43">
        <f t="array" aca="1" ref="J10" ca="1">INDIRECT("'"&amp;$B$3&amp;"'!"&amp;CHAR(64+COLUMN())&amp;(ROW()-4))</f>
        <v>30.465</v>
      </c>
      <c r="K10" s="43">
        <f t="array" aca="1" ref="K10" ca="1">INDIRECT("'"&amp;$B$3&amp;"'!"&amp;CHAR(64+COLUMN())&amp;(ROW()-4))</f>
        <v>31.543579426880729</v>
      </c>
      <c r="L10" s="43">
        <f t="array" aca="1" ref="L10" ca="1">INDIRECT("'"&amp;$B$3&amp;"'!"&amp;CHAR(64+COLUMN())&amp;(ROW()-4))</f>
        <v>33.482125322553607</v>
      </c>
      <c r="M10" s="43">
        <f t="array" aca="1" ref="M10" ca="1">INDIRECT("'"&amp;$B$3&amp;"'!"&amp;CHAR(64+COLUMN())&amp;(ROW()-4))</f>
        <v>11.006123745201529</v>
      </c>
      <c r="N10" s="43">
        <f t="array" aca="1" ref="N10" ca="1">INDIRECT("'"&amp;$B$3&amp;"'!"&amp;CHAR(64+COLUMN())&amp;(ROW()-4))</f>
        <v>12.201795000685941</v>
      </c>
      <c r="O10" s="43">
        <f t="array" aca="1" ref="O10" ca="1">INDIRECT("'"&amp;$B$3&amp;"'!"&amp;CHAR(64+COLUMN())&amp;(ROW()-4))</f>
        <v>-0.45033655307209841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今量=24,600  5日均=44,278  比值=0.56x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28.65</v>
      </c>
      <c r="D11" s="43">
        <f t="array" aca="1" ref="D11" ca="1">INDIRECT("'"&amp;$B$3&amp;"'!"&amp;CHAR(64+COLUMN())&amp;(ROW()-4))</f>
        <v>27.9</v>
      </c>
      <c r="E11" s="43">
        <f t="array" aca="1" ref="E11" ca="1">INDIRECT("'"&amp;$B$3&amp;"'!"&amp;CHAR(64+COLUMN())&amp;(ROW()-4))</f>
        <v>28.2</v>
      </c>
      <c r="F11" s="43">
        <f t="array" aca="1" ref="F11" ca="1">INDIRECT("'"&amp;$B$3&amp;"'!"&amp;CHAR(64+COLUMN())&amp;(ROW()-4))</f>
        <v>36016</v>
      </c>
      <c r="G11" s="43">
        <f t="array" aca="1" ref="G11" ca="1">INDIRECT("'"&amp;$B$3&amp;"'!"&amp;CHAR(64+COLUMN())&amp;(ROW()-4))</f>
        <v>3.2967032967032912</v>
      </c>
      <c r="H11" s="43">
        <f t="array" aca="1" ref="H11" ca="1">INDIRECT("'"&amp;$B$3&amp;"'!"&amp;CHAR(64+COLUMN())&amp;(ROW()-4))</f>
        <v>27.53</v>
      </c>
      <c r="I11" s="43">
        <f t="array" aca="1" ref="I11" ca="1">INDIRECT("'"&amp;$B$3&amp;"'!"&amp;CHAR(64+COLUMN())&amp;(ROW()-4))</f>
        <v>28.204999999999998</v>
      </c>
      <c r="J11" s="43">
        <f t="array" aca="1" ref="J11" ca="1">INDIRECT("'"&amp;$B$3&amp;"'!"&amp;CHAR(64+COLUMN())&amp;(ROW()-4))</f>
        <v>30.25749999999999</v>
      </c>
      <c r="K11" s="43">
        <f t="array" aca="1" ref="K11" ca="1">INDIRECT("'"&amp;$B$3&amp;"'!"&amp;CHAR(64+COLUMN())&amp;(ROW()-4))</f>
        <v>45.444152755208137</v>
      </c>
      <c r="L11" s="43">
        <f t="array" aca="1" ref="L11" ca="1">INDIRECT("'"&amp;$B$3&amp;"'!"&amp;CHAR(64+COLUMN())&amp;(ROW()-4))</f>
        <v>40.762270336729351</v>
      </c>
      <c r="M11" s="43">
        <f t="array" aca="1" ref="M11" ca="1">INDIRECT("'"&amp;$B$3&amp;"'!"&amp;CHAR(64+COLUMN())&amp;(ROW()-4))</f>
        <v>21.14693963965815</v>
      </c>
      <c r="N11" s="43">
        <f t="array" aca="1" ref="N11" ca="1">INDIRECT("'"&amp;$B$3&amp;"'!"&amp;CHAR(64+COLUMN())&amp;(ROW()-4))</f>
        <v>15.183509880343349</v>
      </c>
      <c r="O11" s="43">
        <f t="array" aca="1" ref="O11" ca="1">INDIRECT("'"&amp;$B$3&amp;"'!"&amp;CHAR(64+COLUMN())&amp;(ROW()-4))</f>
        <v>-0.32798767184852973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MA10=30.5  中 -6%=27.3  鬆 MA20=29.4  (σ=2.6%)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29.1</v>
      </c>
      <c r="D12" s="43">
        <f t="array" aca="1" ref="D12" ca="1">INDIRECT("'"&amp;$B$3&amp;"'!"&amp;CHAR(64+COLUMN())&amp;(ROW()-4))</f>
        <v>27.7</v>
      </c>
      <c r="E12" s="43">
        <f t="array" aca="1" ref="E12" ca="1">INDIRECT("'"&amp;$B$3&amp;"'!"&amp;CHAR(64+COLUMN())&amp;(ROW()-4))</f>
        <v>29</v>
      </c>
      <c r="F12" s="43">
        <f t="array" aca="1" ref="F12" ca="1">INDIRECT("'"&amp;$B$3&amp;"'!"&amp;CHAR(64+COLUMN())&amp;(ROW()-4))</f>
        <v>27744</v>
      </c>
      <c r="G12" s="43">
        <f t="array" aca="1" ref="G12" ca="1">INDIRECT("'"&amp;$B$3&amp;"'!"&amp;CHAR(64+COLUMN())&amp;(ROW()-4))</f>
        <v>2.8368794326241158</v>
      </c>
      <c r="H12" s="43">
        <f t="array" aca="1" ref="H12" ca="1">INDIRECT("'"&amp;$B$3&amp;"'!"&amp;CHAR(64+COLUMN())&amp;(ROW()-4))</f>
        <v>27.85</v>
      </c>
      <c r="I12" s="43">
        <f t="array" aca="1" ref="I12" ca="1">INDIRECT("'"&amp;$B$3&amp;"'!"&amp;CHAR(64+COLUMN())&amp;(ROW()-4))</f>
        <v>27.954999999999998</v>
      </c>
      <c r="J12" s="43">
        <f t="array" aca="1" ref="J12" ca="1">INDIRECT("'"&amp;$B$3&amp;"'!"&amp;CHAR(64+COLUMN())&amp;(ROW()-4))</f>
        <v>30.074999999999999</v>
      </c>
      <c r="K12" s="43">
        <f t="array" aca="1" ref="K12" ca="1">INDIRECT("'"&amp;$B$3&amp;"'!"&amp;CHAR(64+COLUMN())&amp;(ROW()-4))</f>
        <v>55.156914522621229</v>
      </c>
      <c r="L12" s="43">
        <f t="array" aca="1" ref="L12" ca="1">INDIRECT("'"&amp;$B$3&amp;"'!"&amp;CHAR(64+COLUMN())&amp;(ROW()-4))</f>
        <v>46.445955099554062</v>
      </c>
      <c r="M12" s="43">
        <f t="array" aca="1" ref="M12" ca="1">INDIRECT("'"&amp;$B$3&amp;"'!"&amp;CHAR(64+COLUMN())&amp;(ROW()-4))</f>
        <v>41.370687032499383</v>
      </c>
      <c r="N12" s="43">
        <f t="array" aca="1" ref="N12" ca="1">INDIRECT("'"&amp;$B$3&amp;"'!"&amp;CHAR(64+COLUMN())&amp;(ROW()-4))</f>
        <v>23.912568931062019</v>
      </c>
      <c r="O12" s="43">
        <f t="array" aca="1" ref="O12" ca="1">INDIRECT("'"&amp;$B$3&amp;"'!"&amp;CHAR(64+COLUMN())&amp;(ROW()-4))</f>
        <v>-0.1761185326093174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收盤=29.0  MA5=29.8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29.75</v>
      </c>
      <c r="D13" s="43">
        <f t="array" aca="1" ref="D13" ca="1">INDIRECT("'"&amp;$B$3&amp;"'!"&amp;CHAR(64+COLUMN())&amp;(ROW()-4))</f>
        <v>29.1</v>
      </c>
      <c r="E13" s="43">
        <f t="array" aca="1" ref="E13" ca="1">INDIRECT("'"&amp;$B$3&amp;"'!"&amp;CHAR(64+COLUMN())&amp;(ROW()-4))</f>
        <v>29.5</v>
      </c>
      <c r="F13" s="43">
        <f t="array" aca="1" ref="F13" ca="1">INDIRECT("'"&amp;$B$3&amp;"'!"&amp;CHAR(64+COLUMN())&amp;(ROW()-4))</f>
        <v>35883</v>
      </c>
      <c r="G13" s="43">
        <f t="array" aca="1" ref="G13" ca="1">INDIRECT("'"&amp;$B$3&amp;"'!"&amp;CHAR(64+COLUMN())&amp;(ROW()-4))</f>
        <v>1.7241379310344831</v>
      </c>
      <c r="H13" s="43">
        <f t="array" aca="1" ref="H13" ca="1">INDIRECT("'"&amp;$B$3&amp;"'!"&amp;CHAR(64+COLUMN())&amp;(ROW()-4))</f>
        <v>28.38</v>
      </c>
      <c r="I13" s="43">
        <f t="array" aca="1" ref="I13" ca="1">INDIRECT("'"&amp;$B$3&amp;"'!"&amp;CHAR(64+COLUMN())&amp;(ROW()-4))</f>
        <v>27.88</v>
      </c>
      <c r="J13" s="43">
        <f t="array" aca="1" ref="J13" ca="1">INDIRECT("'"&amp;$B$3&amp;"'!"&amp;CHAR(64+COLUMN())&amp;(ROW()-4))</f>
        <v>29.94</v>
      </c>
      <c r="K13" s="43">
        <f t="array" aca="1" ref="K13" ca="1">INDIRECT("'"&amp;$B$3&amp;"'!"&amp;CHAR(64+COLUMN())&amp;(ROW()-4))</f>
        <v>60.439263222226472</v>
      </c>
      <c r="L13" s="43">
        <f t="array" aca="1" ref="L13" ca="1">INDIRECT("'"&amp;$B$3&amp;"'!"&amp;CHAR(64+COLUMN())&amp;(ROW()-4))</f>
        <v>49.734261108837849</v>
      </c>
      <c r="M13" s="43">
        <f t="array" aca="1" ref="M13" ca="1">INDIRECT("'"&amp;$B$3&amp;"'!"&amp;CHAR(64+COLUMN())&amp;(ROW()-4))</f>
        <v>58.136013577221803</v>
      </c>
      <c r="N13" s="43">
        <f t="array" aca="1" ref="N13" ca="1">INDIRECT("'"&amp;$B$3&amp;"'!"&amp;CHAR(64+COLUMN())&amp;(ROW()-4))</f>
        <v>35.320383813115278</v>
      </c>
      <c r="O13" s="43">
        <f t="array" aca="1" ref="O13" ca="1">INDIRECT("'"&amp;$B$3&amp;"'!"&amp;CHAR(64+COLUMN())&amp;(ROW()-4))</f>
        <v>-3.2451788163472051E-2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29.95</v>
      </c>
      <c r="D14" s="43">
        <f t="array" aca="1" ref="D14" ca="1">INDIRECT("'"&amp;$B$3&amp;"'!"&amp;CHAR(64+COLUMN())&amp;(ROW()-4))</f>
        <v>29.05</v>
      </c>
      <c r="E14" s="43">
        <f t="array" aca="1" ref="E14" ca="1">INDIRECT("'"&amp;$B$3&amp;"'!"&amp;CHAR(64+COLUMN())&amp;(ROW()-4))</f>
        <v>29.45</v>
      </c>
      <c r="F14" s="43">
        <f t="array" aca="1" ref="F14" ca="1">INDIRECT("'"&amp;$B$3&amp;"'!"&amp;CHAR(64+COLUMN())&amp;(ROW()-4))</f>
        <v>33328</v>
      </c>
      <c r="G14" s="43">
        <f t="array" aca="1" ref="G14" ca="1">INDIRECT("'"&amp;$B$3&amp;"'!"&amp;CHAR(64+COLUMN())&amp;(ROW()-4))</f>
        <v>-0.16949152542373119</v>
      </c>
      <c r="H14" s="43">
        <f t="array" aca="1" ref="H14" ca="1">INDIRECT("'"&amp;$B$3&amp;"'!"&amp;CHAR(64+COLUMN())&amp;(ROW()-4))</f>
        <v>28.69</v>
      </c>
      <c r="I14" s="43">
        <f t="array" aca="1" ref="I14" ca="1">INDIRECT("'"&amp;$B$3&amp;"'!"&amp;CHAR(64+COLUMN())&amp;(ROW()-4))</f>
        <v>28</v>
      </c>
      <c r="J14" s="43">
        <f t="array" aca="1" ref="J14" ca="1">INDIRECT("'"&amp;$B$3&amp;"'!"&amp;CHAR(64+COLUMN())&amp;(ROW()-4))</f>
        <v>29.827500000000001</v>
      </c>
      <c r="K14" s="43">
        <f t="array" aca="1" ref="K14" ca="1">INDIRECT("'"&amp;$B$3&amp;"'!"&amp;CHAR(64+COLUMN())&amp;(ROW()-4))</f>
        <v>59.596829043453219</v>
      </c>
      <c r="L14" s="43">
        <f t="array" aca="1" ref="L14" ca="1">INDIRECT("'"&amp;$B$3&amp;"'!"&amp;CHAR(64+COLUMN())&amp;(ROW()-4))</f>
        <v>49.403339735890619</v>
      </c>
      <c r="M14" s="43">
        <f t="array" aca="1" ref="M14" ca="1">INDIRECT("'"&amp;$B$3&amp;"'!"&amp;CHAR(64+COLUMN())&amp;(ROW()-4))</f>
        <v>66.882342384814535</v>
      </c>
      <c r="N14" s="43">
        <f t="array" aca="1" ref="N14" ca="1">INDIRECT("'"&amp;$B$3&amp;"'!"&amp;CHAR(64+COLUMN())&amp;(ROW()-4))</f>
        <v>45.841036670348359</v>
      </c>
      <c r="O14" s="43">
        <f t="array" aca="1" ref="O14" ca="1">INDIRECT("'"&amp;$B$3&amp;"'!"&amp;CHAR(64+COLUMN())&amp;(ROW()-4))</f>
        <v>6.3516855080622991E-2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30.7</v>
      </c>
      <c r="D15" s="43">
        <f t="array" aca="1" ref="D15" ca="1">INDIRECT("'"&amp;$B$3&amp;"'!"&amp;CHAR(64+COLUMN())&amp;(ROW()-4))</f>
        <v>29.2</v>
      </c>
      <c r="E15" s="43">
        <f t="array" aca="1" ref="E15" ca="1">INDIRECT("'"&amp;$B$3&amp;"'!"&amp;CHAR(64+COLUMN())&amp;(ROW()-4))</f>
        <v>29.4</v>
      </c>
      <c r="F15" s="43">
        <f t="array" aca="1" ref="F15" ca="1">INDIRECT("'"&amp;$B$3&amp;"'!"&amp;CHAR(64+COLUMN())&amp;(ROW()-4))</f>
        <v>66959</v>
      </c>
      <c r="G15" s="43">
        <f t="array" aca="1" ref="G15" ca="1">INDIRECT("'"&amp;$B$3&amp;"'!"&amp;CHAR(64+COLUMN())&amp;(ROW()-4))</f>
        <v>-0.16977928692699731</v>
      </c>
      <c r="H15" s="43">
        <f t="array" aca="1" ref="H15" ca="1">INDIRECT("'"&amp;$B$3&amp;"'!"&amp;CHAR(64+COLUMN())&amp;(ROW()-4))</f>
        <v>29.11</v>
      </c>
      <c r="I15" s="43">
        <f t="array" aca="1" ref="I15" ca="1">INDIRECT("'"&amp;$B$3&amp;"'!"&amp;CHAR(64+COLUMN())&amp;(ROW()-4))</f>
        <v>28.245000000000001</v>
      </c>
      <c r="J15" s="43">
        <f t="array" aca="1" ref="J15" ca="1">INDIRECT("'"&amp;$B$3&amp;"'!"&amp;CHAR(64+COLUMN())&amp;(ROW()-4))</f>
        <v>29.6875</v>
      </c>
      <c r="K15" s="43">
        <f t="array" aca="1" ref="K15" ca="1">INDIRECT("'"&amp;$B$3&amp;"'!"&amp;CHAR(64+COLUMN())&amp;(ROW()-4))</f>
        <v>58.616397696866329</v>
      </c>
      <c r="L15" s="43">
        <f t="array" aca="1" ref="L15" ca="1">INDIRECT("'"&amp;$B$3&amp;"'!"&amp;CHAR(64+COLUMN())&amp;(ROW()-4))</f>
        <v>49.04732088171302</v>
      </c>
      <c r="M15" s="43">
        <f t="array" aca="1" ref="M15" ca="1">INDIRECT("'"&amp;$B$3&amp;"'!"&amp;CHAR(64+COLUMN())&amp;(ROW()-4))</f>
        <v>66.951097454855244</v>
      </c>
      <c r="N15" s="43">
        <f t="array" aca="1" ref="N15" ca="1">INDIRECT("'"&amp;$B$3&amp;"'!"&amp;CHAR(64+COLUMN())&amp;(ROW()-4))</f>
        <v>52.877723598517321</v>
      </c>
      <c r="O15" s="43">
        <f t="array" aca="1" ref="O15" ca="1">INDIRECT("'"&amp;$B$3&amp;"'!"&amp;CHAR(64+COLUMN())&amp;(ROW()-4))</f>
        <v>0.1244136499368564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1  危險 3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31.8</v>
      </c>
      <c r="D16" s="43">
        <f t="array" aca="1" ref="D16" ca="1">INDIRECT("'"&amp;$B$3&amp;"'!"&amp;CHAR(64+COLUMN())&amp;(ROW()-4))</f>
        <v>29.6</v>
      </c>
      <c r="E16" s="43">
        <f t="array" aca="1" ref="E16" ca="1">INDIRECT("'"&amp;$B$3&amp;"'!"&amp;CHAR(64+COLUMN())&amp;(ROW()-4))</f>
        <v>30.35</v>
      </c>
      <c r="F16" s="43">
        <f t="array" aca="1" ref="F16" ca="1">INDIRECT("'"&amp;$B$3&amp;"'!"&amp;CHAR(64+COLUMN())&amp;(ROW()-4))</f>
        <v>99623</v>
      </c>
      <c r="G16" s="43">
        <f t="array" aca="1" ref="G16" ca="1">INDIRECT("'"&amp;$B$3&amp;"'!"&amp;CHAR(64+COLUMN())&amp;(ROW()-4))</f>
        <v>3.2312925170068132</v>
      </c>
      <c r="H16" s="43">
        <f t="array" aca="1" ref="H16" ca="1">INDIRECT("'"&amp;$B$3&amp;"'!"&amp;CHAR(64+COLUMN())&amp;(ROW()-4))</f>
        <v>29.54</v>
      </c>
      <c r="I16" s="43">
        <f t="array" aca="1" ref="I16" ca="1">INDIRECT("'"&amp;$B$3&amp;"'!"&amp;CHAR(64+COLUMN())&amp;(ROW()-4))</f>
        <v>28.535</v>
      </c>
      <c r="J16" s="43">
        <f t="array" aca="1" ref="J16" ca="1">INDIRECT("'"&amp;$B$3&amp;"'!"&amp;CHAR(64+COLUMN())&amp;(ROW()-4))</f>
        <v>29.5625</v>
      </c>
      <c r="K16" s="43">
        <f t="array" aca="1" ref="K16" ca="1">INDIRECT("'"&amp;$B$3&amp;"'!"&amp;CHAR(64+COLUMN())&amp;(ROW()-4))</f>
        <v>69.904679731242453</v>
      </c>
      <c r="L16" s="43">
        <f t="array" aca="1" ref="L16" ca="1">INDIRECT("'"&amp;$B$3&amp;"'!"&amp;CHAR(64+COLUMN())&amp;(ROW()-4))</f>
        <v>55.668976756445879</v>
      </c>
      <c r="M16" s="43">
        <f t="array" aca="1" ref="M16" ca="1">INDIRECT("'"&amp;$B$3&amp;"'!"&amp;CHAR(64+COLUMN())&amp;(ROW()-4))</f>
        <v>68.396441207527261</v>
      </c>
      <c r="N16" s="43">
        <f t="array" aca="1" ref="N16" ca="1">INDIRECT("'"&amp;$B$3&amp;"'!"&amp;CHAR(64+COLUMN())&amp;(ROW()-4))</f>
        <v>58.050629468187303</v>
      </c>
      <c r="O16" s="43">
        <f t="array" aca="1" ref="O16" ca="1">INDIRECT("'"&amp;$B$3&amp;"'!"&amp;CHAR(64+COLUMN())&amp;(ROW()-4))</f>
        <v>0.2236698790078048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31.35</v>
      </c>
      <c r="D17" s="43">
        <f t="array" aca="1" ref="D17" ca="1">INDIRECT("'"&amp;$B$3&amp;"'!"&amp;CHAR(64+COLUMN())&amp;(ROW()-4))</f>
        <v>29.75</v>
      </c>
      <c r="E17" s="43">
        <f t="array" aca="1" ref="E17" ca="1">INDIRECT("'"&amp;$B$3&amp;"'!"&amp;CHAR(64+COLUMN())&amp;(ROW()-4))</f>
        <v>30.25</v>
      </c>
      <c r="F17" s="43">
        <f t="array" aca="1" ref="F17" ca="1">INDIRECT("'"&amp;$B$3&amp;"'!"&amp;CHAR(64+COLUMN())&amp;(ROW()-4))</f>
        <v>74532</v>
      </c>
      <c r="G17" s="43">
        <f t="array" aca="1" ref="G17" ca="1">INDIRECT("'"&amp;$B$3&amp;"'!"&amp;CHAR(64+COLUMN())&amp;(ROW()-4))</f>
        <v>-0.32948929159802781</v>
      </c>
      <c r="H17" s="43">
        <f t="array" aca="1" ref="H17" ca="1">INDIRECT("'"&amp;$B$3&amp;"'!"&amp;CHAR(64+COLUMN())&amp;(ROW()-4))</f>
        <v>29.79</v>
      </c>
      <c r="I17" s="43">
        <f t="array" aca="1" ref="I17" ca="1">INDIRECT("'"&amp;$B$3&amp;"'!"&amp;CHAR(64+COLUMN())&amp;(ROW()-4))</f>
        <v>28.82</v>
      </c>
      <c r="J17" s="43">
        <f t="array" aca="1" ref="J17" ca="1">INDIRECT("'"&amp;$B$3&amp;"'!"&amp;CHAR(64+COLUMN())&amp;(ROW()-4))</f>
        <v>29.445</v>
      </c>
      <c r="K17" s="43">
        <f t="array" aca="1" ref="K17" ca="1">INDIRECT("'"&amp;$B$3&amp;"'!"&amp;CHAR(64+COLUMN())&amp;(ROW()-4))</f>
        <v>67.576311403748733</v>
      </c>
      <c r="L17" s="43">
        <f t="array" aca="1" ref="L17" ca="1">INDIRECT("'"&amp;$B$3&amp;"'!"&amp;CHAR(64+COLUMN())&amp;(ROW()-4))</f>
        <v>54.850427989266599</v>
      </c>
      <c r="M17" s="43">
        <f t="array" aca="1" ref="M17" ca="1">INDIRECT("'"&amp;$B$3&amp;"'!"&amp;CHAR(64+COLUMN())&amp;(ROW()-4))</f>
        <v>68.699937702707942</v>
      </c>
      <c r="N17" s="43">
        <f t="array" aca="1" ref="N17" ca="1">INDIRECT("'"&amp;$B$3&amp;"'!"&amp;CHAR(64+COLUMN())&amp;(ROW()-4))</f>
        <v>61.600398879694183</v>
      </c>
      <c r="O17" s="43">
        <f t="array" aca="1" ref="O17" ca="1">INDIRECT("'"&amp;$B$3&amp;"'!"&amp;CHAR(64+COLUMN())&amp;(ROW()-4))</f>
        <v>0.27424754685119163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31.95</v>
      </c>
      <c r="D18" s="43">
        <f t="array" aca="1" ref="D18" ca="1">INDIRECT("'"&amp;$B$3&amp;"'!"&amp;CHAR(64+COLUMN())&amp;(ROW()-4))</f>
        <v>30.75</v>
      </c>
      <c r="E18" s="43">
        <f t="array" aca="1" ref="E18" ca="1">INDIRECT("'"&amp;$B$3&amp;"'!"&amp;CHAR(64+COLUMN())&amp;(ROW()-4))</f>
        <v>31.45</v>
      </c>
      <c r="F18" s="43">
        <f t="array" aca="1" ref="F18" ca="1">INDIRECT("'"&amp;$B$3&amp;"'!"&amp;CHAR(64+COLUMN())&amp;(ROW()-4))</f>
        <v>89706</v>
      </c>
      <c r="G18" s="43">
        <f t="array" aca="1" ref="G18" ca="1">INDIRECT("'"&amp;$B$3&amp;"'!"&amp;CHAR(64+COLUMN())&amp;(ROW()-4))</f>
        <v>3.966942148760328</v>
      </c>
      <c r="H18" s="43">
        <f t="array" aca="1" ref="H18" ca="1">INDIRECT("'"&amp;$B$3&amp;"'!"&amp;CHAR(64+COLUMN())&amp;(ROW()-4))</f>
        <v>30.18</v>
      </c>
      <c r="I18" s="43">
        <f t="array" aca="1" ref="I18" ca="1">INDIRECT("'"&amp;$B$3&amp;"'!"&amp;CHAR(64+COLUMN())&amp;(ROW()-4))</f>
        <v>29.28</v>
      </c>
      <c r="J18" s="43">
        <f t="array" aca="1" ref="J18" ca="1">INDIRECT("'"&amp;$B$3&amp;"'!"&amp;CHAR(64+COLUMN())&amp;(ROW()-4))</f>
        <v>29.3675</v>
      </c>
      <c r="K18" s="43">
        <f t="array" aca="1" ref="K18" ca="1">INDIRECT("'"&amp;$B$3&amp;"'!"&amp;CHAR(64+COLUMN())&amp;(ROW()-4))</f>
        <v>78.08664988251185</v>
      </c>
      <c r="L18" s="43">
        <f t="array" aca="1" ref="L18" ca="1">INDIRECT("'"&amp;$B$3&amp;"'!"&amp;CHAR(64+COLUMN())&amp;(ROW()-4))</f>
        <v>62.138307036597077</v>
      </c>
      <c r="M18" s="43">
        <f t="array" aca="1" ref="M18" ca="1">INDIRECT("'"&amp;$B$3&amp;"'!"&amp;CHAR(64+COLUMN())&amp;(ROW()-4))</f>
        <v>75.766288434801922</v>
      </c>
      <c r="N18" s="43">
        <f t="array" aca="1" ref="N18" ca="1">INDIRECT("'"&amp;$B$3&amp;"'!"&amp;CHAR(64+COLUMN())&amp;(ROW()-4))</f>
        <v>66.322362064730086</v>
      </c>
      <c r="O18" s="43">
        <f t="array" aca="1" ref="O18" ca="1">INDIRECT("'"&amp;$B$3&amp;"'!"&amp;CHAR(64+COLUMN())&amp;(ROW()-4))</f>
        <v>0.37400096798272009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33.25</v>
      </c>
      <c r="D19" s="43">
        <f t="array" aca="1" ref="D19" ca="1">INDIRECT("'"&amp;$B$3&amp;"'!"&amp;CHAR(64+COLUMN())&amp;(ROW()-4))</f>
        <v>31.55</v>
      </c>
      <c r="E19" s="43">
        <f t="array" aca="1" ref="E19" ca="1">INDIRECT("'"&amp;$B$3&amp;"'!"&amp;CHAR(64+COLUMN())&amp;(ROW()-4))</f>
        <v>32.75</v>
      </c>
      <c r="F19" s="43">
        <f t="array" aca="1" ref="F19" ca="1">INDIRECT("'"&amp;$B$3&amp;"'!"&amp;CHAR(64+COLUMN())&amp;(ROW()-4))</f>
        <v>109771</v>
      </c>
      <c r="G19" s="43">
        <f t="array" aca="1" ref="G19" ca="1">INDIRECT("'"&amp;$B$3&amp;"'!"&amp;CHAR(64+COLUMN())&amp;(ROW()-4))</f>
        <v>4.1335453100159008</v>
      </c>
      <c r="H19" s="43">
        <f t="array" aca="1" ref="H19" ca="1">INDIRECT("'"&amp;$B$3&amp;"'!"&amp;CHAR(64+COLUMN())&amp;(ROW()-4))</f>
        <v>30.84</v>
      </c>
      <c r="I19" s="43">
        <f t="array" aca="1" ref="I19" ca="1">INDIRECT("'"&amp;$B$3&amp;"'!"&amp;CHAR(64+COLUMN())&amp;(ROW()-4))</f>
        <v>29.765000000000001</v>
      </c>
      <c r="J19" s="43">
        <f t="array" aca="1" ref="J19" ca="1">INDIRECT("'"&amp;$B$3&amp;"'!"&amp;CHAR(64+COLUMN())&amp;(ROW()-4))</f>
        <v>29.37</v>
      </c>
      <c r="K19" s="43">
        <f t="array" aca="1" ref="K19" ca="1">INDIRECT("'"&amp;$B$3&amp;"'!"&amp;CHAR(64+COLUMN())&amp;(ROW()-4))</f>
        <v>84.583295561992486</v>
      </c>
      <c r="L19" s="43">
        <f t="array" aca="1" ref="L19" ca="1">INDIRECT("'"&amp;$B$3&amp;"'!"&amp;CHAR(64+COLUMN())&amp;(ROW()-4))</f>
        <v>68.203885649888335</v>
      </c>
      <c r="M19" s="43">
        <f t="array" aca="1" ref="M19" ca="1">INDIRECT("'"&amp;$B$3&amp;"'!"&amp;CHAR(64+COLUMN())&amp;(ROW()-4))</f>
        <v>80.841189286864946</v>
      </c>
      <c r="N19" s="43">
        <f t="array" aca="1" ref="N19" ca="1">INDIRECT("'"&amp;$B$3&amp;"'!"&amp;CHAR(64+COLUMN())&amp;(ROW()-4))</f>
        <v>71.16197113877503</v>
      </c>
      <c r="O19" s="43">
        <f t="array" aca="1" ref="O19" ca="1">INDIRECT("'"&amp;$B$3&amp;"'!"&amp;CHAR(64+COLUMN())&amp;(ROW()-4))</f>
        <v>0.50487690193529022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33.549999999999997</v>
      </c>
      <c r="D20" s="43">
        <f t="array" aca="1" ref="D20" ca="1">INDIRECT("'"&amp;$B$3&amp;"'!"&amp;CHAR(64+COLUMN())&amp;(ROW()-4))</f>
        <v>30.6</v>
      </c>
      <c r="E20" s="43">
        <f t="array" aca="1" ref="E20" ca="1">INDIRECT("'"&amp;$B$3&amp;"'!"&amp;CHAR(64+COLUMN())&amp;(ROW()-4))</f>
        <v>31.2</v>
      </c>
      <c r="F20" s="43">
        <f t="array" aca="1" ref="F20" ca="1">INDIRECT("'"&amp;$B$3&amp;"'!"&amp;CHAR(64+COLUMN())&amp;(ROW()-4))</f>
        <v>76327</v>
      </c>
      <c r="G20" s="43">
        <f t="array" aca="1" ref="G20" ca="1">INDIRECT("'"&amp;$B$3&amp;"'!"&amp;CHAR(64+COLUMN())&amp;(ROW()-4))</f>
        <v>-4.7328244274809181</v>
      </c>
      <c r="H20" s="43">
        <f t="array" aca="1" ref="H20" ca="1">INDIRECT("'"&amp;$B$3&amp;"'!"&amp;CHAR(64+COLUMN())&amp;(ROW()-4))</f>
        <v>31.2</v>
      </c>
      <c r="I20" s="43">
        <f t="array" aca="1" ref="I20" ca="1">INDIRECT("'"&amp;$B$3&amp;"'!"&amp;CHAR(64+COLUMN())&amp;(ROW()-4))</f>
        <v>30.155000000000001</v>
      </c>
      <c r="J20" s="43">
        <f t="array" aca="1" ref="J20" ca="1">INDIRECT("'"&amp;$B$3&amp;"'!"&amp;CHAR(64+COLUMN())&amp;(ROW()-4))</f>
        <v>29.344999999999999</v>
      </c>
      <c r="K20" s="43">
        <f t="array" aca="1" ref="K20" ca="1">INDIRECT("'"&amp;$B$3&amp;"'!"&amp;CHAR(64+COLUMN())&amp;(ROW()-4))</f>
        <v>59.390882265602187</v>
      </c>
      <c r="L20" s="43">
        <f t="array" aca="1" ref="L20" ca="1">INDIRECT("'"&amp;$B$3&amp;"'!"&amp;CHAR(64+COLUMN())&amp;(ROW()-4))</f>
        <v>56.442570272948899</v>
      </c>
      <c r="M20" s="43">
        <f t="array" aca="1" ref="M20" ca="1">INDIRECT("'"&amp;$B$3&amp;"'!"&amp;CHAR(64+COLUMN())&amp;(ROW()-4))</f>
        <v>73.837146134263236</v>
      </c>
      <c r="N20" s="43">
        <f t="array" aca="1" ref="N20" ca="1">INDIRECT("'"&amp;$B$3&amp;"'!"&amp;CHAR(64+COLUMN())&amp;(ROW()-4))</f>
        <v>72.053696137271089</v>
      </c>
      <c r="O20" s="43">
        <f t="array" aca="1" ref="O20" ca="1">INDIRECT("'"&amp;$B$3&amp;"'!"&amp;CHAR(64+COLUMN())&amp;(ROW()-4))</f>
        <v>0.46536803279484779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31.3</v>
      </c>
      <c r="D21" s="43">
        <f t="array" aca="1" ref="D21" ca="1">INDIRECT("'"&amp;$B$3&amp;"'!"&amp;CHAR(64+COLUMN())&amp;(ROW()-4))</f>
        <v>30</v>
      </c>
      <c r="E21" s="43">
        <f t="array" aca="1" ref="E21" ca="1">INDIRECT("'"&amp;$B$3&amp;"'!"&amp;CHAR(64+COLUMN())&amp;(ROW()-4))</f>
        <v>30.3</v>
      </c>
      <c r="F21" s="43">
        <f t="array" aca="1" ref="F21" ca="1">INDIRECT("'"&amp;$B$3&amp;"'!"&amp;CHAR(64+COLUMN())&amp;(ROW()-4))</f>
        <v>35382</v>
      </c>
      <c r="G21" s="43">
        <f t="array" aca="1" ref="G21" ca="1">INDIRECT("'"&amp;$B$3&amp;"'!"&amp;CHAR(64+COLUMN())&amp;(ROW()-4))</f>
        <v>-2.8846153846153801</v>
      </c>
      <c r="H21" s="43">
        <f t="array" aca="1" ref="H21" ca="1">INDIRECT("'"&amp;$B$3&amp;"'!"&amp;CHAR(64+COLUMN())&amp;(ROW()-4))</f>
        <v>31.19</v>
      </c>
      <c r="I21" s="43">
        <f t="array" aca="1" ref="I21" ca="1">INDIRECT("'"&amp;$B$3&amp;"'!"&amp;CHAR(64+COLUMN())&amp;(ROW()-4))</f>
        <v>30.364999999999998</v>
      </c>
      <c r="J21" s="43">
        <f t="array" aca="1" ref="J21" ca="1">INDIRECT("'"&amp;$B$3&amp;"'!"&amp;CHAR(64+COLUMN())&amp;(ROW()-4))</f>
        <v>29.285</v>
      </c>
      <c r="K21" s="43">
        <f t="array" aca="1" ref="K21" ca="1">INDIRECT("'"&amp;$B$3&amp;"'!"&amp;CHAR(64+COLUMN())&amp;(ROW()-4))</f>
        <v>49.183844914474172</v>
      </c>
      <c r="L21" s="43">
        <f t="array" aca="1" ref="L21" ca="1">INDIRECT("'"&amp;$B$3&amp;"'!"&amp;CHAR(64+COLUMN())&amp;(ROW()-4))</f>
        <v>50.884411987850122</v>
      </c>
      <c r="M21" s="43">
        <f t="array" aca="1" ref="M21" ca="1">INDIRECT("'"&amp;$B$3&amp;"'!"&amp;CHAR(64+COLUMN())&amp;(ROW()-4))</f>
        <v>58.484023348768091</v>
      </c>
      <c r="N21" s="43">
        <f t="array" aca="1" ref="N21" ca="1">INDIRECT("'"&amp;$B$3&amp;"'!"&amp;CHAR(64+COLUMN())&amp;(ROW()-4))</f>
        <v>67.530471874436756</v>
      </c>
      <c r="O21" s="43">
        <f t="array" aca="1" ref="O21" ca="1">INDIRECT("'"&amp;$B$3&amp;"'!"&amp;CHAR(64+COLUMN())&amp;(ROW()-4))</f>
        <v>0.36155720378399281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30.65</v>
      </c>
      <c r="D22" s="43">
        <f t="array" aca="1" ref="D22" ca="1">INDIRECT("'"&amp;$B$3&amp;"'!"&amp;CHAR(64+COLUMN())&amp;(ROW()-4))</f>
        <v>29.5</v>
      </c>
      <c r="E22" s="43">
        <f t="array" aca="1" ref="E22" ca="1">INDIRECT("'"&amp;$B$3&amp;"'!"&amp;CHAR(64+COLUMN())&amp;(ROW()-4))</f>
        <v>30</v>
      </c>
      <c r="F22" s="43">
        <f t="array" aca="1" ref="F22" ca="1">INDIRECT("'"&amp;$B$3&amp;"'!"&amp;CHAR(64+COLUMN())&amp;(ROW()-4))</f>
        <v>34784</v>
      </c>
      <c r="G22" s="43">
        <f t="array" aca="1" ref="G22" ca="1">INDIRECT("'"&amp;$B$3&amp;"'!"&amp;CHAR(64+COLUMN())&amp;(ROW()-4))</f>
        <v>-0.99009900990099231</v>
      </c>
      <c r="H22" s="43">
        <f t="array" aca="1" ref="H22" ca="1">INDIRECT("'"&amp;$B$3&amp;"'!"&amp;CHAR(64+COLUMN())&amp;(ROW()-4))</f>
        <v>31.14</v>
      </c>
      <c r="I22" s="43">
        <f t="array" aca="1" ref="I22" ca="1">INDIRECT("'"&amp;$B$3&amp;"'!"&amp;CHAR(64+COLUMN())&amp;(ROW()-4))</f>
        <v>30.465</v>
      </c>
      <c r="J22" s="43">
        <f t="array" aca="1" ref="J22" ca="1">INDIRECT("'"&amp;$B$3&amp;"'!"&amp;CHAR(64+COLUMN())&amp;(ROW()-4))</f>
        <v>29.21</v>
      </c>
      <c r="K22" s="43">
        <f t="array" aca="1" ref="K22" ca="1">INDIRECT("'"&amp;$B$3&amp;"'!"&amp;CHAR(64+COLUMN())&amp;(ROW()-4))</f>
        <v>46.020195313383972</v>
      </c>
      <c r="L22" s="43">
        <f t="array" aca="1" ref="L22" ca="1">INDIRECT("'"&amp;$B$3&amp;"'!"&amp;CHAR(64+COLUMN())&amp;(ROW()-4))</f>
        <v>49.125287636625323</v>
      </c>
      <c r="M22" s="43">
        <f t="array" aca="1" ref="M22" ca="1">INDIRECT("'"&amp;$B$3&amp;"'!"&amp;CHAR(64+COLUMN())&amp;(ROW()-4))</f>
        <v>46.02638593621576</v>
      </c>
      <c r="N22" s="43">
        <f t="array" aca="1" ref="N22" ca="1">INDIRECT("'"&amp;$B$3&amp;"'!"&amp;CHAR(64+COLUMN())&amp;(ROW()-4))</f>
        <v>60.362443228363091</v>
      </c>
      <c r="O22" s="43">
        <f t="array" aca="1" ref="O22" ca="1">INDIRECT("'"&amp;$B$3&amp;"'!"&amp;CHAR(64+COLUMN())&amp;(ROW()-4))</f>
        <v>0.26035162354601837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29.6</v>
      </c>
      <c r="T22" s="55">
        <f ca="1">IF(OR(AND(LEFT($S$15,1)="🔴",RIGHT($S$15,2)="出場"),AND($S$15="🔴 觀望",$S$12="🔴")),ROUND(MAX(H25,E25*(1+N32*1.2)),1),"—")</f>
        <v>29.9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30.45</v>
      </c>
      <c r="D23" s="43">
        <f t="array" aca="1" ref="D23" ca="1">INDIRECT("'"&amp;$B$3&amp;"'!"&amp;CHAR(64+COLUMN())&amp;(ROW()-4))</f>
        <v>29.6</v>
      </c>
      <c r="E23" s="43">
        <f t="array" aca="1" ref="E23" ca="1">INDIRECT("'"&amp;$B$3&amp;"'!"&amp;CHAR(64+COLUMN())&amp;(ROW()-4))</f>
        <v>29.85</v>
      </c>
      <c r="F23" s="43">
        <f t="array" aca="1" ref="F23" ca="1">INDIRECT("'"&amp;$B$3&amp;"'!"&amp;CHAR(64+COLUMN())&amp;(ROW()-4))</f>
        <v>45089</v>
      </c>
      <c r="G23" s="43">
        <f t="array" aca="1" ref="G23" ca="1">INDIRECT("'"&amp;$B$3&amp;"'!"&amp;CHAR(64+COLUMN())&amp;(ROW()-4))</f>
        <v>-0.49999999999999523</v>
      </c>
      <c r="H23" s="43">
        <f t="array" aca="1" ref="H23" ca="1">INDIRECT("'"&amp;$B$3&amp;"'!"&amp;CHAR(64+COLUMN())&amp;(ROW()-4))</f>
        <v>30.82</v>
      </c>
      <c r="I23" s="43">
        <f t="array" aca="1" ref="I23" ca="1">INDIRECT("'"&amp;$B$3&amp;"'!"&amp;CHAR(64+COLUMN())&amp;(ROW()-4))</f>
        <v>30.5</v>
      </c>
      <c r="J23" s="43">
        <f t="array" aca="1" ref="J23" ca="1">INDIRECT("'"&amp;$B$3&amp;"'!"&amp;CHAR(64+COLUMN())&amp;(ROW()-4))</f>
        <v>29.19</v>
      </c>
      <c r="K23" s="43">
        <f t="array" aca="1" ref="K23" ca="1">INDIRECT("'"&amp;$B$3&amp;"'!"&amp;CHAR(64+COLUMN())&amp;(ROW()-4))</f>
        <v>44.310101655550483</v>
      </c>
      <c r="L23" s="43">
        <f t="array" aca="1" ref="L23" ca="1">INDIRECT("'"&amp;$B$3&amp;"'!"&amp;CHAR(64+COLUMN())&amp;(ROW()-4))</f>
        <v>48.216081706026443</v>
      </c>
      <c r="M23" s="43">
        <f t="array" aca="1" ref="M23" ca="1">INDIRECT("'"&amp;$B$3&amp;"'!"&amp;CHAR(64+COLUMN())&amp;(ROW()-4))</f>
        <v>35.665100202687917</v>
      </c>
      <c r="N23" s="43">
        <f t="array" aca="1" ref="N23" ca="1">INDIRECT("'"&amp;$B$3&amp;"'!"&amp;CHAR(64+COLUMN())&amp;(ROW()-4))</f>
        <v>52.129995553138031</v>
      </c>
      <c r="O23" s="43">
        <f t="array" aca="1" ref="O23" ca="1">INDIRECT("'"&amp;$B$3&amp;"'!"&amp;CHAR(64+COLUMN())&amp;(ROW()-4))</f>
        <v>0.1750635820760664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30.1</v>
      </c>
      <c r="T23" s="59">
        <f ca="1">IF(OR(AND(LEFT($S$15,1)="🔴",RIGHT($S$15,2)="出場"),AND($S$15="🔴 觀望",$S$12="🔴")),ROUND(MAX(I25,E25*(1+N32*1.8)),1),"—")</f>
        <v>30.5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30.15</v>
      </c>
      <c r="D24" s="43">
        <f t="array" aca="1" ref="D24" ca="1">INDIRECT("'"&amp;$B$3&amp;"'!"&amp;CHAR(64+COLUMN())&amp;(ROW()-4))</f>
        <v>29.3</v>
      </c>
      <c r="E24" s="43">
        <f t="array" aca="1" ref="E24" ca="1">INDIRECT("'"&amp;$B$3&amp;"'!"&amp;CHAR(64+COLUMN())&amp;(ROW()-4))</f>
        <v>29.7</v>
      </c>
      <c r="F24" s="43">
        <f t="array" aca="1" ref="F24" ca="1">INDIRECT("'"&amp;$B$3&amp;"'!"&amp;CHAR(64+COLUMN())&amp;(ROW()-4))</f>
        <v>29810</v>
      </c>
      <c r="G24" s="43">
        <f t="array" aca="1" ref="G24" ca="1">INDIRECT("'"&amp;$B$3&amp;"'!"&amp;CHAR(64+COLUMN())&amp;(ROW()-4))</f>
        <v>-0.50251256281407752</v>
      </c>
      <c r="H24" s="43">
        <f t="array" aca="1" ref="H24" ca="1">INDIRECT("'"&amp;$B$3&amp;"'!"&amp;CHAR(64+COLUMN())&amp;(ROW()-4))</f>
        <v>30.21</v>
      </c>
      <c r="I24" s="43">
        <f t="array" aca="1" ref="I24" ca="1">INDIRECT("'"&amp;$B$3&amp;"'!"&amp;CHAR(64+COLUMN())&amp;(ROW()-4))</f>
        <v>30.524999999999999</v>
      </c>
      <c r="J24" s="43">
        <f t="array" aca="1" ref="J24" ca="1">INDIRECT("'"&amp;$B$3&amp;"'!"&amp;CHAR(64+COLUMN())&amp;(ROW()-4))</f>
        <v>29.26250000000001</v>
      </c>
      <c r="K24" s="43">
        <f t="array" aca="1" ref="K24" ca="1">INDIRECT("'"&amp;$B$3&amp;"'!"&amp;CHAR(64+COLUMN())&amp;(ROW()-4))</f>
        <v>42.418590452362039</v>
      </c>
      <c r="L24" s="43">
        <f t="array" aca="1" ref="L24" ca="1">INDIRECT("'"&amp;$B$3&amp;"'!"&amp;CHAR(64+COLUMN())&amp;(ROW()-4))</f>
        <v>47.261844423253429</v>
      </c>
      <c r="M24" s="43">
        <f t="array" aca="1" ref="M24" ca="1">INDIRECT("'"&amp;$B$3&amp;"'!"&amp;CHAR(64+COLUMN())&amp;(ROW()-4))</f>
        <v>26.913988370419389</v>
      </c>
      <c r="N24" s="43">
        <f t="array" aca="1" ref="N24" ca="1">INDIRECT("'"&amp;$B$3&amp;"'!"&amp;CHAR(64+COLUMN())&amp;(ROW()-4))</f>
        <v>43.724659825565148</v>
      </c>
      <c r="O24" s="43">
        <f t="array" aca="1" ref="O24" ca="1">INDIRECT("'"&amp;$B$3&amp;"'!"&amp;CHAR(64+COLUMN())&amp;(ROW()-4))</f>
        <v>0.1038242802823328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30.5</v>
      </c>
      <c r="T24" s="61">
        <f ca="1">IF(OR(AND(LEFT($S$15,1)="🔴",RIGHT($S$15,2)="出場"),AND($S$15="🔴 觀望",$S$12="🔴")),ROUND(E25*(1+N32*2.4),1),"—")</f>
        <v>30.8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29.55</v>
      </c>
      <c r="D25" s="43">
        <f t="array" aca="1" ref="D25" ca="1">INDIRECT("'"&amp;$B$3&amp;"'!"&amp;CHAR(64+COLUMN())&amp;(ROW()-4))</f>
        <v>29</v>
      </c>
      <c r="E25" s="43">
        <f t="array" aca="1" ref="E25" ca="1">INDIRECT("'"&amp;$B$3&amp;"'!"&amp;CHAR(64+COLUMN())&amp;(ROW()-4))</f>
        <v>29</v>
      </c>
      <c r="F25" s="43">
        <f t="array" aca="1" ref="F25" ca="1">INDIRECT("'"&amp;$B$3&amp;"'!"&amp;CHAR(64+COLUMN())&amp;(ROW()-4))</f>
        <v>24600</v>
      </c>
      <c r="G25" s="43">
        <f t="array" aca="1" ref="G25" ca="1">INDIRECT("'"&amp;$B$3&amp;"'!"&amp;CHAR(64+COLUMN())&amp;(ROW()-4))</f>
        <v>-2.3569023569023551</v>
      </c>
      <c r="H25" s="43">
        <f t="array" aca="1" ref="H25" ca="1">INDIRECT("'"&amp;$B$3&amp;"'!"&amp;CHAR(64+COLUMN())&amp;(ROW()-4))</f>
        <v>29.77</v>
      </c>
      <c r="I25" s="43">
        <f t="array" aca="1" ref="I25" ca="1">INDIRECT("'"&amp;$B$3&amp;"'!"&amp;CHAR(64+COLUMN())&amp;(ROW()-4))</f>
        <v>30.484999999999999</v>
      </c>
      <c r="J25" s="43">
        <f t="array" aca="1" ref="J25" ca="1">INDIRECT("'"&amp;$B$3&amp;"'!"&amp;CHAR(64+COLUMN())&amp;(ROW()-4))</f>
        <v>29.364999999999998</v>
      </c>
      <c r="K25" s="43">
        <f t="array" aca="1" ref="K25" ca="1">INDIRECT("'"&amp;$B$3&amp;"'!"&amp;CHAR(64+COLUMN())&amp;(ROW()-4))</f>
        <v>34.23468604419287</v>
      </c>
      <c r="L25" s="43">
        <f t="array" aca="1" ref="L25" ca="1">INDIRECT("'"&amp;$B$3&amp;"'!"&amp;CHAR(64+COLUMN())&amp;(ROW()-4))</f>
        <v>42.935905037002208</v>
      </c>
      <c r="M25" s="43">
        <f t="array" aca="1" ref="M25" ca="1">INDIRECT("'"&amp;$B$3&amp;"'!"&amp;CHAR(64+COLUMN())&amp;(ROW()-4))</f>
        <v>17.942658913612931</v>
      </c>
      <c r="N25" s="43">
        <f t="array" aca="1" ref="N25" ca="1">INDIRECT("'"&amp;$B$3&amp;"'!"&amp;CHAR(64+COLUMN())&amp;(ROW()-4))</f>
        <v>35.130659521581073</v>
      </c>
      <c r="O25" s="43">
        <f t="array" aca="1" ref="O25" ca="1">INDIRECT("'"&amp;$B$3&amp;"'!"&amp;CHAR(64+COLUMN())&amp;(ROW()-4))</f>
        <v>9.7885866297538482E-3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29.0、σ=2.64%）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28.2</v>
      </c>
      <c r="S27" s="69">
        <f ca="1">ROUND((E25*(1-N32)-E25)/E25,4)</f>
        <v>-2.64E-2</v>
      </c>
      <c r="T27" s="70" t="str">
        <f ca="1">"再跌 "&amp;TEXT(ABS((E25*(1-N32)-E25)/E25),"0.0%")&amp;" 至 "&amp;TEXT(E25*(1-N32),"0.0")&amp;" 進入積極買進區"</f>
        <v>再跌 2.6% 至 28.2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33.549999999999997</v>
      </c>
      <c r="Q28" s="71" t="s">
        <v>129</v>
      </c>
      <c r="R28" s="72">
        <f ca="1">ROUND(MAX(H25,E25*(1+N32)),1)</f>
        <v>29.8</v>
      </c>
      <c r="S28" s="73">
        <f ca="1">ROUND((MAX(H25,E25*(1+N32))-E25)/E25,4)</f>
        <v>2.6599999999999999E-2</v>
      </c>
      <c r="T28" s="74" t="str">
        <f ca="1">"再漲 "&amp;TEXT(ABS((MAX(H25,E25*(1+N32))-E25)/E25),"0.0%")&amp;" 至 "&amp;TEXT(MAX(H25,E25*(1+N32)),"0.0")&amp;" 進入反彈賣出區"</f>
        <v>再漲 2.7% 至 29.8 進入反彈賣出區</v>
      </c>
    </row>
    <row r="29" spans="1:20" x14ac:dyDescent="0.2">
      <c r="A29" s="1" t="s">
        <v>130</v>
      </c>
      <c r="B29" s="8">
        <v>0.5</v>
      </c>
      <c r="C29" s="8">
        <v>0.11</v>
      </c>
      <c r="D29" s="8">
        <v>0.45</v>
      </c>
      <c r="E29" s="8">
        <v>0.32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26.75</v>
      </c>
    </row>
    <row r="30" spans="1:20" ht="16" customHeight="1" x14ac:dyDescent="0.2">
      <c r="A30" s="1" t="s">
        <v>132</v>
      </c>
      <c r="B30" s="107">
        <v>1.38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29.365000000000002</v>
      </c>
    </row>
    <row r="31" spans="1:20" x14ac:dyDescent="0.2">
      <c r="A31" s="9" t="s">
        <v>134</v>
      </c>
      <c r="B31" t="s">
        <v>95</v>
      </c>
      <c r="C31" s="10">
        <v>-0.78</v>
      </c>
      <c r="D31" s="11">
        <v>3.0909090909090908</v>
      </c>
      <c r="E31" s="10">
        <v>-0.28888888888888892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5.6466302367941743E-2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2.6361107388355381E-2</v>
      </c>
    </row>
    <row r="33" spans="1:14" ht="17" customHeight="1" x14ac:dyDescent="0.2">
      <c r="A33" s="108" t="s">
        <v>138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29</v>
      </c>
    </row>
    <row r="34" spans="1:14" x14ac:dyDescent="0.2">
      <c r="A34" t="s">
        <v>141</v>
      </c>
      <c r="B34" s="26">
        <v>1.1000000000000001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30.25</v>
      </c>
      <c r="G35" t="s">
        <v>146</v>
      </c>
      <c r="H35" s="27">
        <f>B36*B30</f>
        <v>11.04</v>
      </c>
      <c r="I35" s="27">
        <f>C36*B30</f>
        <v>16.559999999999999</v>
      </c>
      <c r="J35" s="27">
        <f>D36*B30</f>
        <v>24.839999999999996</v>
      </c>
    </row>
    <row r="36" spans="1:14" ht="17" customHeight="1" x14ac:dyDescent="0.2">
      <c r="A36" t="s">
        <v>147</v>
      </c>
      <c r="B36" s="26">
        <v>8</v>
      </c>
      <c r="C36" s="26">
        <v>12</v>
      </c>
      <c r="D36" s="26">
        <v>18</v>
      </c>
      <c r="G36" t="s">
        <v>148</v>
      </c>
      <c r="H36" s="27">
        <f>B37*B35</f>
        <v>24.200000000000003</v>
      </c>
      <c r="I36" s="27">
        <f>C37*B35</f>
        <v>36.299999999999997</v>
      </c>
      <c r="J36" s="27">
        <f>D37*B35</f>
        <v>54.45</v>
      </c>
    </row>
    <row r="37" spans="1:14" ht="17" customHeight="1" x14ac:dyDescent="0.2">
      <c r="A37" t="s">
        <v>149</v>
      </c>
      <c r="B37" s="26">
        <v>0.8</v>
      </c>
      <c r="C37" s="26">
        <v>1.2</v>
      </c>
      <c r="D37" s="26">
        <v>1.8</v>
      </c>
      <c r="G37" t="s">
        <v>150</v>
      </c>
      <c r="H37" s="27">
        <f>B34/B38</f>
        <v>18.333333333333336</v>
      </c>
      <c r="I37" s="27">
        <f>B34/C38</f>
        <v>24.444444444444446</v>
      </c>
      <c r="J37" s="27">
        <f>B34/D38</f>
        <v>36.666666666666671</v>
      </c>
    </row>
    <row r="38" spans="1:14" ht="17" customHeight="1" x14ac:dyDescent="0.25">
      <c r="A38" s="40" t="s">
        <v>151</v>
      </c>
      <c r="B38" s="37">
        <v>0.06</v>
      </c>
      <c r="C38" s="37">
        <v>4.4999999999999998E-2</v>
      </c>
      <c r="D38" s="37">
        <v>0.03</v>
      </c>
      <c r="G38" s="29" t="s">
        <v>152</v>
      </c>
      <c r="H38" s="38">
        <f>AVERAGE(H35,H36,H37)</f>
        <v>17.85777777777778</v>
      </c>
      <c r="I38" s="38">
        <f>AVERAGE(I35,I36,I37)</f>
        <v>25.768148148148146</v>
      </c>
      <c r="J38" s="39">
        <f>AVERAGE(J35,J36,J37)</f>
        <v>38.652222222222221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25" priority="3" operator="lessThan">
      <formula>0</formula>
    </cfRule>
  </conditionalFormatting>
  <conditionalFormatting sqref="O6:O25">
    <cfRule type="cellIs" dxfId="24" priority="4" operator="lessThan">
      <formula>0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39"/>
  <sheetViews>
    <sheetView workbookViewId="0">
      <pane ySplit="5" topLeftCell="A6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3.33203125" bestFit="1" customWidth="1"/>
    <col min="3" max="3" width="8.33203125" bestFit="1" customWidth="1"/>
    <col min="4" max="4" width="7.5" bestFit="1" customWidth="1"/>
    <col min="5" max="5" width="8.3320312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153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154</v>
      </c>
    </row>
    <row r="3" spans="1:20" x14ac:dyDescent="0.2">
      <c r="A3" s="1" t="s">
        <v>2</v>
      </c>
      <c r="B3" s="2">
        <v>2382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291</v>
      </c>
      <c r="D6" s="43">
        <f t="array" aca="1" ref="D6" ca="1">INDIRECT("'"&amp;$B$3&amp;"'!"&amp;CHAR(64+COLUMN())&amp;(ROW()-4))</f>
        <v>285</v>
      </c>
      <c r="E6" s="43">
        <f t="array" aca="1" ref="E6" ca="1">INDIRECT("'"&amp;$B$3&amp;"'!"&amp;CHAR(64+COLUMN())&amp;(ROW()-4))</f>
        <v>290.5</v>
      </c>
      <c r="F6" s="43">
        <f t="array" aca="1" ref="F6" ca="1">INDIRECT("'"&amp;$B$3&amp;"'!"&amp;CHAR(64+COLUMN())&amp;(ROW()-4))</f>
        <v>18751</v>
      </c>
      <c r="G6" s="43">
        <f t="array" aca="1" ref="G6" ca="1">INDIRECT("'"&amp;$B$3&amp;"'!"&amp;CHAR(64+COLUMN())&amp;(ROW()-4))</f>
        <v>4.3087971274685817</v>
      </c>
      <c r="H6" s="43">
        <f t="array" aca="1" ref="H6" ca="1">INDIRECT("'"&amp;$B$3&amp;"'!"&amp;CHAR(64+COLUMN())&amp;(ROW()-4))</f>
        <v>285.2</v>
      </c>
      <c r="I6" s="43">
        <f t="array" aca="1" ref="I6" ca="1">INDIRECT("'"&amp;$B$3&amp;"'!"&amp;CHAR(64+COLUMN())&amp;(ROW()-4))</f>
        <v>284.25</v>
      </c>
      <c r="J6" s="43">
        <f t="array" aca="1" ref="J6" ca="1">INDIRECT("'"&amp;$B$3&amp;"'!"&amp;CHAR(64+COLUMN())&amp;(ROW()-4))</f>
        <v>286.14999999999998</v>
      </c>
      <c r="K6" s="43">
        <f t="array" aca="1" ref="K6" ca="1">INDIRECT("'"&amp;$B$3&amp;"'!"&amp;CHAR(64+COLUMN())&amp;(ROW()-4))</f>
        <v>60.638174254841843</v>
      </c>
      <c r="L6" s="43">
        <f t="array" aca="1" ref="L6" ca="1">INDIRECT("'"&amp;$B$3&amp;"'!"&amp;CHAR(64+COLUMN())&amp;(ROW()-4))</f>
        <v>55.166956081867383</v>
      </c>
      <c r="M6" s="43">
        <f t="array" aca="1" ref="M6" ca="1">INDIRECT("'"&amp;$B$3&amp;"'!"&amp;CHAR(64+COLUMN())&amp;(ROW()-4))</f>
        <v>56.879007827280617</v>
      </c>
      <c r="N6" s="43">
        <f t="array" aca="1" ref="N6" ca="1">INDIRECT("'"&amp;$B$3&amp;"'!"&amp;CHAR(64+COLUMN())&amp;(ROW()-4))</f>
        <v>49.089058873091211</v>
      </c>
      <c r="O6" s="43">
        <f t="array" aca="1" ref="O6" ca="1">INDIRECT("'"&amp;$B$3&amp;"'!"&amp;CHAR(64+COLUMN())&amp;(ROW()-4))</f>
        <v>-0.32147254788004848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291.5</v>
      </c>
      <c r="D7" s="43">
        <f t="array" aca="1" ref="D7" ca="1">INDIRECT("'"&amp;$B$3&amp;"'!"&amp;CHAR(64+COLUMN())&amp;(ROW()-4))</f>
        <v>284.5</v>
      </c>
      <c r="E7" s="43">
        <f t="array" aca="1" ref="E7" ca="1">INDIRECT("'"&amp;$B$3&amp;"'!"&amp;CHAR(64+COLUMN())&amp;(ROW()-4))</f>
        <v>284.5</v>
      </c>
      <c r="F7" s="43">
        <f t="array" aca="1" ref="F7" ca="1">INDIRECT("'"&amp;$B$3&amp;"'!"&amp;CHAR(64+COLUMN())&amp;(ROW()-4))</f>
        <v>11221</v>
      </c>
      <c r="G7" s="43">
        <f t="array" aca="1" ref="G7" ca="1">INDIRECT("'"&amp;$B$3&amp;"'!"&amp;CHAR(64+COLUMN())&amp;(ROW()-4))</f>
        <v>-2.0654044750430289</v>
      </c>
      <c r="H7" s="43">
        <f t="array" aca="1" ref="H7" ca="1">INDIRECT("'"&amp;$B$3&amp;"'!"&amp;CHAR(64+COLUMN())&amp;(ROW()-4))</f>
        <v>284.7</v>
      </c>
      <c r="I7" s="43">
        <f t="array" aca="1" ref="I7" ca="1">INDIRECT("'"&amp;$B$3&amp;"'!"&amp;CHAR(64+COLUMN())&amp;(ROW()-4))</f>
        <v>284.05</v>
      </c>
      <c r="J7" s="43">
        <f t="array" aca="1" ref="J7" ca="1">INDIRECT("'"&amp;$B$3&amp;"'!"&amp;CHAR(64+COLUMN())&amp;(ROW()-4))</f>
        <v>285.89999999999998</v>
      </c>
      <c r="K7" s="43">
        <f t="array" aca="1" ref="K7" ca="1">INDIRECT("'"&amp;$B$3&amp;"'!"&amp;CHAR(64+COLUMN())&amp;(ROW()-4))</f>
        <v>48.736379470164593</v>
      </c>
      <c r="L7" s="43">
        <f t="array" aca="1" ref="L7" ca="1">INDIRECT("'"&amp;$B$3&amp;"'!"&amp;CHAR(64+COLUMN())&amp;(ROW()-4))</f>
        <v>49.057260913408243</v>
      </c>
      <c r="M7" s="43">
        <f t="array" aca="1" ref="M7" ca="1">INDIRECT("'"&amp;$B$3&amp;"'!"&amp;CHAR(64+COLUMN())&amp;(ROW()-4))</f>
        <v>56.669338551520411</v>
      </c>
      <c r="N7" s="43">
        <f t="array" aca="1" ref="N7" ca="1">INDIRECT("'"&amp;$B$3&amp;"'!"&amp;CHAR(64+COLUMN())&amp;(ROW()-4))</f>
        <v>51.61581876590094</v>
      </c>
      <c r="O7" s="43">
        <f t="array" aca="1" ref="O7" ca="1">INDIRECT("'"&amp;$B$3&amp;"'!"&amp;CHAR(64+COLUMN())&amp;(ROW()-4))</f>
        <v>-0.303066045263233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289.5</v>
      </c>
      <c r="D8" s="43">
        <f t="array" aca="1" ref="D8" ca="1">INDIRECT("'"&amp;$B$3&amp;"'!"&amp;CHAR(64+COLUMN())&amp;(ROW()-4))</f>
        <v>284</v>
      </c>
      <c r="E8" s="43">
        <f t="array" aca="1" ref="E8" ca="1">INDIRECT("'"&amp;$B$3&amp;"'!"&amp;CHAR(64+COLUMN())&amp;(ROW()-4))</f>
        <v>289</v>
      </c>
      <c r="F8" s="43">
        <f t="array" aca="1" ref="F8" ca="1">INDIRECT("'"&amp;$B$3&amp;"'!"&amp;CHAR(64+COLUMN())&amp;(ROW()-4))</f>
        <v>9060</v>
      </c>
      <c r="G8" s="43">
        <f t="array" aca="1" ref="G8" ca="1">INDIRECT("'"&amp;$B$3&amp;"'!"&amp;CHAR(64+COLUMN())&amp;(ROW()-4))</f>
        <v>1.581722319859403</v>
      </c>
      <c r="H8" s="43">
        <f t="array" aca="1" ref="H8" ca="1">INDIRECT("'"&amp;$B$3&amp;"'!"&amp;CHAR(64+COLUMN())&amp;(ROW()-4))</f>
        <v>284.7</v>
      </c>
      <c r="I8" s="43">
        <f t="array" aca="1" ref="I8" ca="1">INDIRECT("'"&amp;$B$3&amp;"'!"&amp;CHAR(64+COLUMN())&amp;(ROW()-4))</f>
        <v>284.60000000000002</v>
      </c>
      <c r="J8" s="43">
        <f t="array" aca="1" ref="J8" ca="1">INDIRECT("'"&amp;$B$3&amp;"'!"&amp;CHAR(64+COLUMN())&amp;(ROW()-4))</f>
        <v>285.89999999999998</v>
      </c>
      <c r="K8" s="43">
        <f t="array" aca="1" ref="K8" ca="1">INDIRECT("'"&amp;$B$3&amp;"'!"&amp;CHAR(64+COLUMN())&amp;(ROW()-4))</f>
        <v>56.432494422952843</v>
      </c>
      <c r="L8" s="43">
        <f t="array" aca="1" ref="L8" ca="1">INDIRECT("'"&amp;$B$3&amp;"'!"&amp;CHAR(64+COLUMN())&amp;(ROW()-4))</f>
        <v>53.289809779592943</v>
      </c>
      <c r="M8" s="43">
        <f t="array" aca="1" ref="M8" ca="1">INDIRECT("'"&amp;$B$3&amp;"'!"&amp;CHAR(64+COLUMN())&amp;(ROW()-4))</f>
        <v>64.940052861507439</v>
      </c>
      <c r="N8" s="43">
        <f t="array" aca="1" ref="N8" ca="1">INDIRECT("'"&amp;$B$3&amp;"'!"&amp;CHAR(64+COLUMN())&amp;(ROW()-4))</f>
        <v>56.057230131103097</v>
      </c>
      <c r="O8" s="43">
        <f t="array" aca="1" ref="O8" ca="1">INDIRECT("'"&amp;$B$3&amp;"'!"&amp;CHAR(64+COLUMN())&amp;(ROW()-4))</f>
        <v>1.038980708175608E-2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MA10=325.3  MA20=316.4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307.5</v>
      </c>
      <c r="D9" s="43">
        <f t="array" aca="1" ref="D9" ca="1">INDIRECT("'"&amp;$B$3&amp;"'!"&amp;CHAR(64+COLUMN())&amp;(ROW()-4))</f>
        <v>293.5</v>
      </c>
      <c r="E9" s="43">
        <f t="array" aca="1" ref="E9" ca="1">INDIRECT("'"&amp;$B$3&amp;"'!"&amp;CHAR(64+COLUMN())&amp;(ROW()-4))</f>
        <v>307.5</v>
      </c>
      <c r="F9" s="43">
        <f t="array" aca="1" ref="F9" ca="1">INDIRECT("'"&amp;$B$3&amp;"'!"&amp;CHAR(64+COLUMN())&amp;(ROW()-4))</f>
        <v>54410</v>
      </c>
      <c r="G9" s="43">
        <f t="array" aca="1" ref="G9" ca="1">INDIRECT("'"&amp;$B$3&amp;"'!"&amp;CHAR(64+COLUMN())&amp;(ROW()-4))</f>
        <v>6.4013840830449826</v>
      </c>
      <c r="H9" s="43">
        <f t="array" aca="1" ref="H9" ca="1">INDIRECT("'"&amp;$B$3&amp;"'!"&amp;CHAR(64+COLUMN())&amp;(ROW()-4))</f>
        <v>290</v>
      </c>
      <c r="I9" s="43">
        <f t="array" aca="1" ref="I9" ca="1">INDIRECT("'"&amp;$B$3&amp;"'!"&amp;CHAR(64+COLUMN())&amp;(ROW()-4))</f>
        <v>287.35000000000002</v>
      </c>
      <c r="J9" s="43">
        <f t="array" aca="1" ref="J9" ca="1">INDIRECT("'"&amp;$B$3&amp;"'!"&amp;CHAR(64+COLUMN())&amp;(ROW()-4))</f>
        <v>287.17500000000001</v>
      </c>
      <c r="K9" s="43">
        <f t="array" aca="1" ref="K9" ca="1">INDIRECT("'"&amp;$B$3&amp;"'!"&amp;CHAR(64+COLUMN())&amp;(ROW()-4))</f>
        <v>74.970301289338877</v>
      </c>
      <c r="L9" s="43">
        <f t="array" aca="1" ref="L9" ca="1">INDIRECT("'"&amp;$B$3&amp;"'!"&amp;CHAR(64+COLUMN())&amp;(ROW()-4))</f>
        <v>65.970077523107179</v>
      </c>
      <c r="M9" s="43">
        <f t="array" aca="1" ref="M9" ca="1">INDIRECT("'"&amp;$B$3&amp;"'!"&amp;CHAR(64+COLUMN())&amp;(ROW()-4))</f>
        <v>76.626701907671617</v>
      </c>
      <c r="N9" s="43">
        <f t="array" aca="1" ref="N9" ca="1">INDIRECT("'"&amp;$B$3&amp;"'!"&amp;CHAR(64+COLUMN())&amp;(ROW()-4))</f>
        <v>62.913720723292613</v>
      </c>
      <c r="O9" s="43">
        <f t="array" aca="1" ref="O9" ca="1">INDIRECT("'"&amp;$B$3&amp;"'!"&amp;CHAR(64+COLUMN())&amp;(ROW()-4))</f>
        <v>1.385768615014688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KD金叉:✗(K=26)  RSI6:37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314</v>
      </c>
      <c r="D10" s="43">
        <f t="array" aca="1" ref="D10" ca="1">INDIRECT("'"&amp;$B$3&amp;"'!"&amp;CHAR(64+COLUMN())&amp;(ROW()-4))</f>
        <v>295</v>
      </c>
      <c r="E10" s="43">
        <f t="array" aca="1" ref="E10" ca="1">INDIRECT("'"&amp;$B$3&amp;"'!"&amp;CHAR(64+COLUMN())&amp;(ROW()-4))</f>
        <v>313</v>
      </c>
      <c r="F10" s="43">
        <f t="array" aca="1" ref="F10" ca="1">INDIRECT("'"&amp;$B$3&amp;"'!"&amp;CHAR(64+COLUMN())&amp;(ROW()-4))</f>
        <v>46807</v>
      </c>
      <c r="G10" s="43">
        <f t="array" aca="1" ref="G10" ca="1">INDIRECT("'"&amp;$B$3&amp;"'!"&amp;CHAR(64+COLUMN())&amp;(ROW()-4))</f>
        <v>1.788617886178862</v>
      </c>
      <c r="H10" s="43">
        <f t="array" aca="1" ref="H10" ca="1">INDIRECT("'"&amp;$B$3&amp;"'!"&amp;CHAR(64+COLUMN())&amp;(ROW()-4))</f>
        <v>296.89999999999998</v>
      </c>
      <c r="I10" s="43">
        <f t="array" aca="1" ref="I10" ca="1">INDIRECT("'"&amp;$B$3&amp;"'!"&amp;CHAR(64+COLUMN())&amp;(ROW()-4))</f>
        <v>290.5</v>
      </c>
      <c r="J10" s="43">
        <f t="array" aca="1" ref="J10" ca="1">INDIRECT("'"&amp;$B$3&amp;"'!"&amp;CHAR(64+COLUMN())&amp;(ROW()-4))</f>
        <v>288.7</v>
      </c>
      <c r="K10" s="43">
        <f t="array" aca="1" ref="K10" ca="1">INDIRECT("'"&amp;$B$3&amp;"'!"&amp;CHAR(64+COLUMN())&amp;(ROW()-4))</f>
        <v>78.269032484491206</v>
      </c>
      <c r="L10" s="43">
        <f t="array" aca="1" ref="L10" ca="1">INDIRECT("'"&amp;$B$3&amp;"'!"&amp;CHAR(64+COLUMN())&amp;(ROW()-4))</f>
        <v>68.723742435677565</v>
      </c>
      <c r="M10" s="43">
        <f t="array" aca="1" ref="M10" ca="1">INDIRECT("'"&amp;$B$3&amp;"'!"&amp;CHAR(64+COLUMN())&amp;(ROW()-4))</f>
        <v>83.491875345855149</v>
      </c>
      <c r="N10" s="43">
        <f t="array" aca="1" ref="N10" ca="1">INDIRECT("'"&amp;$B$3&amp;"'!"&amp;CHAR(64+COLUMN())&amp;(ROW()-4))</f>
        <v>69.773105597480111</v>
      </c>
      <c r="O10" s="43">
        <f t="array" aca="1" ref="O10" ca="1">INDIRECT("'"&amp;$B$3&amp;"'!"&amp;CHAR(64+COLUMN())&amp;(ROW()-4))</f>
        <v>2.521852452210763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🟡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今量=18,917  5日均=17,993  比值=1.05x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327.5</v>
      </c>
      <c r="D11" s="43">
        <f t="array" aca="1" ref="D11" ca="1">INDIRECT("'"&amp;$B$3&amp;"'!"&amp;CHAR(64+COLUMN())&amp;(ROW()-4))</f>
        <v>312</v>
      </c>
      <c r="E11" s="43">
        <f t="array" aca="1" ref="E11" ca="1">INDIRECT("'"&amp;$B$3&amp;"'!"&amp;CHAR(64+COLUMN())&amp;(ROW()-4))</f>
        <v>321.5</v>
      </c>
      <c r="F11" s="43">
        <f t="array" aca="1" ref="F11" ca="1">INDIRECT("'"&amp;$B$3&amp;"'!"&amp;CHAR(64+COLUMN())&amp;(ROW()-4))</f>
        <v>39034</v>
      </c>
      <c r="G11" s="43">
        <f t="array" aca="1" ref="G11" ca="1">INDIRECT("'"&amp;$B$3&amp;"'!"&amp;CHAR(64+COLUMN())&amp;(ROW()-4))</f>
        <v>2.7156549520766768</v>
      </c>
      <c r="H11" s="43">
        <f t="array" aca="1" ref="H11" ca="1">INDIRECT("'"&amp;$B$3&amp;"'!"&amp;CHAR(64+COLUMN())&amp;(ROW()-4))</f>
        <v>303.10000000000002</v>
      </c>
      <c r="I11" s="43">
        <f t="array" aca="1" ref="I11" ca="1">INDIRECT("'"&amp;$B$3&amp;"'!"&amp;CHAR(64+COLUMN())&amp;(ROW()-4))</f>
        <v>294.14999999999998</v>
      </c>
      <c r="J11" s="43">
        <f t="array" aca="1" ref="J11" ca="1">INDIRECT("'"&amp;$B$3&amp;"'!"&amp;CHAR(64+COLUMN())&amp;(ROW()-4))</f>
        <v>290.32499999999999</v>
      </c>
      <c r="K11" s="43">
        <f t="array" aca="1" ref="K11" ca="1">INDIRECT("'"&amp;$B$3&amp;"'!"&amp;CHAR(64+COLUMN())&amp;(ROW()-4))</f>
        <v>82.537209570294621</v>
      </c>
      <c r="L11" s="43">
        <f t="array" aca="1" ref="L11" ca="1">INDIRECT("'"&amp;$B$3&amp;"'!"&amp;CHAR(64+COLUMN())&amp;(ROW()-4))</f>
        <v>72.478386857586798</v>
      </c>
      <c r="M11" s="43">
        <f t="array" aca="1" ref="M11" ca="1">INDIRECT("'"&amp;$B$3&amp;"'!"&amp;CHAR(64+COLUMN())&amp;(ROW()-4))</f>
        <v>84.954179523499391</v>
      </c>
      <c r="N11" s="43">
        <f t="array" aca="1" ref="N11" ca="1">INDIRECT("'"&amp;$B$3&amp;"'!"&amp;CHAR(64+COLUMN())&amp;(ROW()-4))</f>
        <v>74.833463572819866</v>
      </c>
      <c r="O11" s="43">
        <f t="array" aca="1" ref="O11" ca="1">INDIRECT("'"&amp;$B$3&amp;"'!"&amp;CHAR(64+COLUMN())&amp;(ROW()-4))</f>
        <v>3.6341006252237298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MA10=325.3  中 -6%=293.8  鬆 MA20=316.4  (σ=2.7%)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320.5</v>
      </c>
      <c r="D12" s="43">
        <f t="array" aca="1" ref="D12" ca="1">INDIRECT("'"&amp;$B$3&amp;"'!"&amp;CHAR(64+COLUMN())&amp;(ROW()-4))</f>
        <v>313</v>
      </c>
      <c r="E12" s="43">
        <f t="array" aca="1" ref="E12" ca="1">INDIRECT("'"&amp;$B$3&amp;"'!"&amp;CHAR(64+COLUMN())&amp;(ROW()-4))</f>
        <v>319</v>
      </c>
      <c r="F12" s="43">
        <f t="array" aca="1" ref="F12" ca="1">INDIRECT("'"&amp;$B$3&amp;"'!"&amp;CHAR(64+COLUMN())&amp;(ROW()-4))</f>
        <v>16849</v>
      </c>
      <c r="G12" s="43">
        <f t="array" aca="1" ref="G12" ca="1">INDIRECT("'"&amp;$B$3&amp;"'!"&amp;CHAR(64+COLUMN())&amp;(ROW()-4))</f>
        <v>-0.77760497667185069</v>
      </c>
      <c r="H12" s="43">
        <f t="array" aca="1" ref="H12" ca="1">INDIRECT("'"&amp;$B$3&amp;"'!"&amp;CHAR(64+COLUMN())&amp;(ROW()-4))</f>
        <v>310</v>
      </c>
      <c r="I12" s="43">
        <f t="array" aca="1" ref="I12" ca="1">INDIRECT("'"&amp;$B$3&amp;"'!"&amp;CHAR(64+COLUMN())&amp;(ROW()-4))</f>
        <v>297.35000000000002</v>
      </c>
      <c r="J12" s="43">
        <f t="array" aca="1" ref="J12" ca="1">INDIRECT("'"&amp;$B$3&amp;"'!"&amp;CHAR(64+COLUMN())&amp;(ROW()-4))</f>
        <v>291.85000000000002</v>
      </c>
      <c r="K12" s="43">
        <f t="array" aca="1" ref="K12" ca="1">INDIRECT("'"&amp;$B$3&amp;"'!"&amp;CHAR(64+COLUMN())&amp;(ROW()-4))</f>
        <v>77.18654993416591</v>
      </c>
      <c r="L12" s="43">
        <f t="array" aca="1" ref="L12" ca="1">INDIRECT("'"&amp;$B$3&amp;"'!"&amp;CHAR(64+COLUMN())&amp;(ROW()-4))</f>
        <v>69.790207948835501</v>
      </c>
      <c r="M12" s="43">
        <f t="array" aca="1" ref="M12" ca="1">INDIRECT("'"&amp;$B$3&amp;"'!"&amp;CHAR(64+COLUMN())&amp;(ROW()-4))</f>
        <v>84.245547291760531</v>
      </c>
      <c r="N12" s="43">
        <f t="array" aca="1" ref="N12" ca="1">INDIRECT("'"&amp;$B$3&amp;"'!"&amp;CHAR(64+COLUMN())&amp;(ROW()-4))</f>
        <v>77.970824812466759</v>
      </c>
      <c r="O12" s="43">
        <f t="array" aca="1" ref="O12" ca="1">INDIRECT("'"&amp;$B$3&amp;"'!"&amp;CHAR(64+COLUMN())&amp;(ROW()-4))</f>
        <v>3.9628260261458021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收盤=312.5  MA5=320.8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329.5</v>
      </c>
      <c r="D13" s="43">
        <f t="array" aca="1" ref="D13" ca="1">INDIRECT("'"&amp;$B$3&amp;"'!"&amp;CHAR(64+COLUMN())&amp;(ROW()-4))</f>
        <v>321</v>
      </c>
      <c r="E13" s="43">
        <f t="array" aca="1" ref="E13" ca="1">INDIRECT("'"&amp;$B$3&amp;"'!"&amp;CHAR(64+COLUMN())&amp;(ROW()-4))</f>
        <v>323</v>
      </c>
      <c r="F13" s="43">
        <f t="array" aca="1" ref="F13" ca="1">INDIRECT("'"&amp;$B$3&amp;"'!"&amp;CHAR(64+COLUMN())&amp;(ROW()-4))</f>
        <v>20523</v>
      </c>
      <c r="G13" s="43">
        <f t="array" aca="1" ref="G13" ca="1">INDIRECT("'"&amp;$B$3&amp;"'!"&amp;CHAR(64+COLUMN())&amp;(ROW()-4))</f>
        <v>1.253918495297806</v>
      </c>
      <c r="H13" s="43">
        <f t="array" aca="1" ref="H13" ca="1">INDIRECT("'"&amp;$B$3&amp;"'!"&amp;CHAR(64+COLUMN())&amp;(ROW()-4))</f>
        <v>316.8</v>
      </c>
      <c r="I13" s="43">
        <f t="array" aca="1" ref="I13" ca="1">INDIRECT("'"&amp;$B$3&amp;"'!"&amp;CHAR(64+COLUMN())&amp;(ROW()-4))</f>
        <v>300.75</v>
      </c>
      <c r="J13" s="43">
        <f t="array" aca="1" ref="J13" ca="1">INDIRECT("'"&amp;$B$3&amp;"'!"&amp;CHAR(64+COLUMN())&amp;(ROW()-4))</f>
        <v>293.55</v>
      </c>
      <c r="K13" s="43">
        <f t="array" aca="1" ref="K13" ca="1">INDIRECT("'"&amp;$B$3&amp;"'!"&amp;CHAR(64+COLUMN())&amp;(ROW()-4))</f>
        <v>79.71178913411336</v>
      </c>
      <c r="L13" s="43">
        <f t="array" aca="1" ref="L13" ca="1">INDIRECT("'"&amp;$B$3&amp;"'!"&amp;CHAR(64+COLUMN())&amp;(ROW()-4))</f>
        <v>71.627013747536409</v>
      </c>
      <c r="M13" s="43">
        <f t="array" aca="1" ref="M13" ca="1">INDIRECT("'"&amp;$B$3&amp;"'!"&amp;CHAR(64+COLUMN())&amp;(ROW()-4))</f>
        <v>85.289911786740021</v>
      </c>
      <c r="N13" s="43">
        <f t="array" aca="1" ref="N13" ca="1">INDIRECT("'"&amp;$B$3&amp;"'!"&amp;CHAR(64+COLUMN())&amp;(ROW()-4))</f>
        <v>80.410520470557842</v>
      </c>
      <c r="O13" s="43">
        <f t="array" aca="1" ref="O13" ca="1">INDIRECT("'"&amp;$B$3&amp;"'!"&amp;CHAR(64+COLUMN())&amp;(ROW()-4))</f>
        <v>4.1890049368745021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325</v>
      </c>
      <c r="D14" s="43">
        <f t="array" aca="1" ref="D14" ca="1">INDIRECT("'"&amp;$B$3&amp;"'!"&amp;CHAR(64+COLUMN())&amp;(ROW()-4))</f>
        <v>307</v>
      </c>
      <c r="E14" s="43">
        <f t="array" aca="1" ref="E14" ca="1">INDIRECT("'"&amp;$B$3&amp;"'!"&amp;CHAR(64+COLUMN())&amp;(ROW()-4))</f>
        <v>308.5</v>
      </c>
      <c r="F14" s="43">
        <f t="array" aca="1" ref="F14" ca="1">INDIRECT("'"&amp;$B$3&amp;"'!"&amp;CHAR(64+COLUMN())&amp;(ROW()-4))</f>
        <v>34222</v>
      </c>
      <c r="G14" s="43">
        <f t="array" aca="1" ref="G14" ca="1">INDIRECT("'"&amp;$B$3&amp;"'!"&amp;CHAR(64+COLUMN())&amp;(ROW()-4))</f>
        <v>-4.4891640866873059</v>
      </c>
      <c r="H14" s="43">
        <f t="array" aca="1" ref="H14" ca="1">INDIRECT("'"&amp;$B$3&amp;"'!"&amp;CHAR(64+COLUMN())&amp;(ROW()-4))</f>
        <v>317</v>
      </c>
      <c r="I14" s="43">
        <f t="array" aca="1" ref="I14" ca="1">INDIRECT("'"&amp;$B$3&amp;"'!"&amp;CHAR(64+COLUMN())&amp;(ROW()-4))</f>
        <v>303.5</v>
      </c>
      <c r="J14" s="43">
        <f t="array" aca="1" ref="J14" ca="1">INDIRECT("'"&amp;$B$3&amp;"'!"&amp;CHAR(64+COLUMN())&amp;(ROW()-4))</f>
        <v>294.52499999999998</v>
      </c>
      <c r="K14" s="43">
        <f t="array" aca="1" ref="K14" ca="1">INDIRECT("'"&amp;$B$3&amp;"'!"&amp;CHAR(64+COLUMN())&amp;(ROW()-4))</f>
        <v>53.804603126113072</v>
      </c>
      <c r="L14" s="43">
        <f t="array" aca="1" ref="L14" ca="1">INDIRECT("'"&amp;$B$3&amp;"'!"&amp;CHAR(64+COLUMN())&amp;(ROW()-4))</f>
        <v>57.743093132271532</v>
      </c>
      <c r="M14" s="43">
        <f t="array" aca="1" ref="M14" ca="1">INDIRECT("'"&amp;$B$3&amp;"'!"&amp;CHAR(64+COLUMN())&amp;(ROW()-4))</f>
        <v>74.80865913987796</v>
      </c>
      <c r="N14" s="43">
        <f t="array" aca="1" ref="N14" ca="1">INDIRECT("'"&amp;$B$3&amp;"'!"&amp;CHAR(64+COLUMN())&amp;(ROW()-4))</f>
        <v>78.543233360331214</v>
      </c>
      <c r="O14" s="43">
        <f t="array" aca="1" ref="O14" ca="1">INDIRECT("'"&amp;$B$3&amp;"'!"&amp;CHAR(64+COLUMN())&amp;(ROW()-4))</f>
        <v>3.1488786517357461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318.5</v>
      </c>
      <c r="D15" s="43">
        <f t="array" aca="1" ref="D15" ca="1">INDIRECT("'"&amp;$B$3&amp;"'!"&amp;CHAR(64+COLUMN())&amp;(ROW()-4))</f>
        <v>311</v>
      </c>
      <c r="E15" s="43">
        <f t="array" aca="1" ref="E15" ca="1">INDIRECT("'"&amp;$B$3&amp;"'!"&amp;CHAR(64+COLUMN())&amp;(ROW()-4))</f>
        <v>318.5</v>
      </c>
      <c r="F15" s="43">
        <f t="array" aca="1" ref="F15" ca="1">INDIRECT("'"&amp;$B$3&amp;"'!"&amp;CHAR(64+COLUMN())&amp;(ROW()-4))</f>
        <v>19430</v>
      </c>
      <c r="G15" s="43">
        <f t="array" aca="1" ref="G15" ca="1">INDIRECT("'"&amp;$B$3&amp;"'!"&amp;CHAR(64+COLUMN())&amp;(ROW()-4))</f>
        <v>3.2414910858995141</v>
      </c>
      <c r="H15" s="43">
        <f t="array" aca="1" ref="H15" ca="1">INDIRECT("'"&amp;$B$3&amp;"'!"&amp;CHAR(64+COLUMN())&amp;(ROW()-4))</f>
        <v>318.10000000000002</v>
      </c>
      <c r="I15" s="43">
        <f t="array" aca="1" ref="I15" ca="1">INDIRECT("'"&amp;$B$3&amp;"'!"&amp;CHAR(64+COLUMN())&amp;(ROW()-4))</f>
        <v>307.5</v>
      </c>
      <c r="J15" s="43">
        <f t="array" aca="1" ref="J15" ca="1">INDIRECT("'"&amp;$B$3&amp;"'!"&amp;CHAR(64+COLUMN())&amp;(ROW()-4))</f>
        <v>296</v>
      </c>
      <c r="K15" s="43">
        <f t="array" aca="1" ref="K15" ca="1">INDIRECT("'"&amp;$B$3&amp;"'!"&amp;CHAR(64+COLUMN())&amp;(ROW()-4))</f>
        <v>63.596273286041239</v>
      </c>
      <c r="L15" s="43">
        <f t="array" aca="1" ref="L15" ca="1">INDIRECT("'"&amp;$B$3&amp;"'!"&amp;CHAR(64+COLUMN())&amp;(ROW()-4))</f>
        <v>63.12123446215297</v>
      </c>
      <c r="M15" s="43">
        <f t="array" aca="1" ref="M15" ca="1">INDIRECT("'"&amp;$B$3&amp;"'!"&amp;CHAR(64+COLUMN())&amp;(ROW()-4))</f>
        <v>75.147164701310572</v>
      </c>
      <c r="N15" s="43">
        <f t="array" aca="1" ref="N15" ca="1">INDIRECT("'"&amp;$B$3&amp;"'!"&amp;CHAR(64+COLUMN())&amp;(ROW()-4))</f>
        <v>77.411210473990991</v>
      </c>
      <c r="O15" s="43">
        <f t="array" aca="1" ref="O15" ca="1">INDIRECT("'"&amp;$B$3&amp;"'!"&amp;CHAR(64+COLUMN())&amp;(ROW()-4))</f>
        <v>2.925937772962655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2  危險 2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327.5</v>
      </c>
      <c r="D16" s="43">
        <f t="array" aca="1" ref="D16" ca="1">INDIRECT("'"&amp;$B$3&amp;"'!"&amp;CHAR(64+COLUMN())&amp;(ROW()-4))</f>
        <v>317.5</v>
      </c>
      <c r="E16" s="43">
        <f t="array" aca="1" ref="E16" ca="1">INDIRECT("'"&amp;$B$3&amp;"'!"&amp;CHAR(64+COLUMN())&amp;(ROW()-4))</f>
        <v>323</v>
      </c>
      <c r="F16" s="43">
        <f t="array" aca="1" ref="F16" ca="1">INDIRECT("'"&amp;$B$3&amp;"'!"&amp;CHAR(64+COLUMN())&amp;(ROW()-4))</f>
        <v>20083</v>
      </c>
      <c r="G16" s="43">
        <f t="array" aca="1" ref="G16" ca="1">INDIRECT("'"&amp;$B$3&amp;"'!"&amp;CHAR(64+COLUMN())&amp;(ROW()-4))</f>
        <v>1.4128728414442699</v>
      </c>
      <c r="H16" s="43">
        <f t="array" aca="1" ref="H16" ca="1">INDIRECT("'"&amp;$B$3&amp;"'!"&amp;CHAR(64+COLUMN())&amp;(ROW()-4))</f>
        <v>318.39999999999998</v>
      </c>
      <c r="I16" s="43">
        <f t="array" aca="1" ref="I16" ca="1">INDIRECT("'"&amp;$B$3&amp;"'!"&amp;CHAR(64+COLUMN())&amp;(ROW()-4))</f>
        <v>310.75</v>
      </c>
      <c r="J16" s="43">
        <f t="array" aca="1" ref="J16" ca="1">INDIRECT("'"&amp;$B$3&amp;"'!"&amp;CHAR(64+COLUMN())&amp;(ROW()-4))</f>
        <v>297.5</v>
      </c>
      <c r="K16" s="43">
        <f t="array" aca="1" ref="K16" ca="1">INDIRECT("'"&amp;$B$3&amp;"'!"&amp;CHAR(64+COLUMN())&amp;(ROW()-4))</f>
        <v>67.335083226930962</v>
      </c>
      <c r="L16" s="43">
        <f t="array" aca="1" ref="L16" ca="1">INDIRECT("'"&amp;$B$3&amp;"'!"&amp;CHAR(64+COLUMN())&amp;(ROW()-4))</f>
        <v>65.289894678659877</v>
      </c>
      <c r="M16" s="43">
        <f t="array" aca="1" ref="M16" ca="1">INDIRECT("'"&amp;$B$3&amp;"'!"&amp;CHAR(64+COLUMN())&amp;(ROW()-4))</f>
        <v>78.669538372302284</v>
      </c>
      <c r="N16" s="43">
        <f t="array" aca="1" ref="N16" ca="1">INDIRECT("'"&amp;$B$3&amp;"'!"&amp;CHAR(64+COLUMN())&amp;(ROW()-4))</f>
        <v>77.830653106761417</v>
      </c>
      <c r="O16" s="43">
        <f t="array" aca="1" ref="O16" ca="1">INDIRECT("'"&amp;$B$3&amp;"'!"&amp;CHAR(64+COLUMN())&amp;(ROW()-4))</f>
        <v>2.869213849606933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330.5</v>
      </c>
      <c r="D17" s="43">
        <f t="array" aca="1" ref="D17" ca="1">INDIRECT("'"&amp;$B$3&amp;"'!"&amp;CHAR(64+COLUMN())&amp;(ROW()-4))</f>
        <v>320</v>
      </c>
      <c r="E17" s="43">
        <f t="array" aca="1" ref="E17" ca="1">INDIRECT("'"&amp;$B$3&amp;"'!"&amp;CHAR(64+COLUMN())&amp;(ROW()-4))</f>
        <v>329</v>
      </c>
      <c r="F17" s="43">
        <f t="array" aca="1" ref="F17" ca="1">INDIRECT("'"&amp;$B$3&amp;"'!"&amp;CHAR(64+COLUMN())&amp;(ROW()-4))</f>
        <v>19861</v>
      </c>
      <c r="G17" s="43">
        <f t="array" aca="1" ref="G17" ca="1">INDIRECT("'"&amp;$B$3&amp;"'!"&amp;CHAR(64+COLUMN())&amp;(ROW()-4))</f>
        <v>1.8575851393188849</v>
      </c>
      <c r="H17" s="43">
        <f t="array" aca="1" ref="H17" ca="1">INDIRECT("'"&amp;$B$3&amp;"'!"&amp;CHAR(64+COLUMN())&amp;(ROW()-4))</f>
        <v>320.39999999999998</v>
      </c>
      <c r="I17" s="43">
        <f t="array" aca="1" ref="I17" ca="1">INDIRECT("'"&amp;$B$3&amp;"'!"&amp;CHAR(64+COLUMN())&amp;(ROW()-4))</f>
        <v>315.2</v>
      </c>
      <c r="J17" s="43">
        <f t="array" aca="1" ref="J17" ca="1">INDIRECT("'"&amp;$B$3&amp;"'!"&amp;CHAR(64+COLUMN())&amp;(ROW()-4))</f>
        <v>299.625</v>
      </c>
      <c r="K17" s="43">
        <f t="array" aca="1" ref="K17" ca="1">INDIRECT("'"&amp;$B$3&amp;"'!"&amp;CHAR(64+COLUMN())&amp;(ROW()-4))</f>
        <v>71.94522531698496</v>
      </c>
      <c r="L17" s="43">
        <f t="array" aca="1" ref="L17" ca="1">INDIRECT("'"&amp;$B$3&amp;"'!"&amp;CHAR(64+COLUMN())&amp;(ROW()-4))</f>
        <v>68.024877783715326</v>
      </c>
      <c r="M17" s="43">
        <f t="array" aca="1" ref="M17" ca="1">INDIRECT("'"&amp;$B$3&amp;"'!"&amp;CHAR(64+COLUMN())&amp;(ROW()-4))</f>
        <v>84.428340896850159</v>
      </c>
      <c r="N17" s="43">
        <f t="array" aca="1" ref="N17" ca="1">INDIRECT("'"&amp;$B$3&amp;"'!"&amp;CHAR(64+COLUMN())&amp;(ROW()-4))</f>
        <v>80.029882370124326</v>
      </c>
      <c r="O17" s="43">
        <f t="array" aca="1" ref="O17" ca="1">INDIRECT("'"&amp;$B$3&amp;"'!"&amp;CHAR(64+COLUMN())&amp;(ROW()-4))</f>
        <v>3.0088320325243871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341</v>
      </c>
      <c r="D18" s="43">
        <f t="array" aca="1" ref="D18" ca="1">INDIRECT("'"&amp;$B$3&amp;"'!"&amp;CHAR(64+COLUMN())&amp;(ROW()-4))</f>
        <v>332</v>
      </c>
      <c r="E18" s="43">
        <f t="array" aca="1" ref="E18" ca="1">INDIRECT("'"&amp;$B$3&amp;"'!"&amp;CHAR(64+COLUMN())&amp;(ROW()-4))</f>
        <v>340</v>
      </c>
      <c r="F18" s="43">
        <f t="array" aca="1" ref="F18" ca="1">INDIRECT("'"&amp;$B$3&amp;"'!"&amp;CHAR(64+COLUMN())&amp;(ROW()-4))</f>
        <v>24631</v>
      </c>
      <c r="G18" s="43">
        <f t="array" aca="1" ref="G18" ca="1">INDIRECT("'"&amp;$B$3&amp;"'!"&amp;CHAR(64+COLUMN())&amp;(ROW()-4))</f>
        <v>3.3434650455927049</v>
      </c>
      <c r="H18" s="43">
        <f t="array" aca="1" ref="H18" ca="1">INDIRECT("'"&amp;$B$3&amp;"'!"&amp;CHAR(64+COLUMN())&amp;(ROW()-4))</f>
        <v>323.8</v>
      </c>
      <c r="I18" s="43">
        <f t="array" aca="1" ref="I18" ca="1">INDIRECT("'"&amp;$B$3&amp;"'!"&amp;CHAR(64+COLUMN())&amp;(ROW()-4))</f>
        <v>320.3</v>
      </c>
      <c r="J18" s="43">
        <f t="array" aca="1" ref="J18" ca="1">INDIRECT("'"&amp;$B$3&amp;"'!"&amp;CHAR(64+COLUMN())&amp;(ROW()-4))</f>
        <v>302.45</v>
      </c>
      <c r="K18" s="43">
        <f t="array" aca="1" ref="K18" ca="1">INDIRECT("'"&amp;$B$3&amp;"'!"&amp;CHAR(64+COLUMN())&amp;(ROW()-4))</f>
        <v>78.592240292834873</v>
      </c>
      <c r="L18" s="43">
        <f t="array" aca="1" ref="L18" ca="1">INDIRECT("'"&amp;$B$3&amp;"'!"&amp;CHAR(64+COLUMN())&amp;(ROW()-4))</f>
        <v>72.377852565015502</v>
      </c>
      <c r="M18" s="43">
        <f t="array" aca="1" ref="M18" ca="1">INDIRECT("'"&amp;$B$3&amp;"'!"&amp;CHAR(64+COLUMN())&amp;(ROW()-4))</f>
        <v>88.894256250074008</v>
      </c>
      <c r="N18" s="43">
        <f t="array" aca="1" ref="N18" ca="1">INDIRECT("'"&amp;$B$3&amp;"'!"&amp;CHAR(64+COLUMN())&amp;(ROW()-4))</f>
        <v>82.984673663440887</v>
      </c>
      <c r="O18" s="43">
        <f t="array" aca="1" ref="O18" ca="1">INDIRECT("'"&amp;$B$3&amp;"'!"&amp;CHAR(64+COLUMN())&amp;(ROW()-4))</f>
        <v>3.57642521028062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345</v>
      </c>
      <c r="D19" s="43">
        <f t="array" aca="1" ref="D19" ca="1">INDIRECT("'"&amp;$B$3&amp;"'!"&amp;CHAR(64+COLUMN())&amp;(ROW()-4))</f>
        <v>333.5</v>
      </c>
      <c r="E19" s="43">
        <f t="array" aca="1" ref="E19" ca="1">INDIRECT("'"&amp;$B$3&amp;"'!"&amp;CHAR(64+COLUMN())&amp;(ROW()-4))</f>
        <v>335</v>
      </c>
      <c r="F19" s="43">
        <f t="array" aca="1" ref="F19" ca="1">INDIRECT("'"&amp;$B$3&amp;"'!"&amp;CHAR(64+COLUMN())&amp;(ROW()-4))</f>
        <v>18439</v>
      </c>
      <c r="G19" s="43">
        <f t="array" aca="1" ref="G19" ca="1">INDIRECT("'"&amp;$B$3&amp;"'!"&amp;CHAR(64+COLUMN())&amp;(ROW()-4))</f>
        <v>-1.470588235294118</v>
      </c>
      <c r="H19" s="43">
        <f t="array" aca="1" ref="H19" ca="1">INDIRECT("'"&amp;$B$3&amp;"'!"&amp;CHAR(64+COLUMN())&amp;(ROW()-4))</f>
        <v>329.1</v>
      </c>
      <c r="I19" s="43">
        <f t="array" aca="1" ref="I19" ca="1">INDIRECT("'"&amp;$B$3&amp;"'!"&amp;CHAR(64+COLUMN())&amp;(ROW()-4))</f>
        <v>323.05</v>
      </c>
      <c r="J19" s="43">
        <f t="array" aca="1" ref="J19" ca="1">INDIRECT("'"&amp;$B$3&amp;"'!"&amp;CHAR(64+COLUMN())&amp;(ROW()-4))</f>
        <v>305.2</v>
      </c>
      <c r="K19" s="43">
        <f t="array" aca="1" ref="K19" ca="1">INDIRECT("'"&amp;$B$3&amp;"'!"&amp;CHAR(64+COLUMN())&amp;(ROW()-4))</f>
        <v>69.597803560131993</v>
      </c>
      <c r="L19" s="43">
        <f t="array" aca="1" ref="L19" ca="1">INDIRECT("'"&amp;$B$3&amp;"'!"&amp;CHAR(64+COLUMN())&amp;(ROW()-4))</f>
        <v>67.80091120148505</v>
      </c>
      <c r="M19" s="43">
        <f t="array" aca="1" ref="M19" ca="1">INDIRECT("'"&amp;$B$3&amp;"'!"&amp;CHAR(64+COLUMN())&amp;(ROW()-4))</f>
        <v>83.824241008821261</v>
      </c>
      <c r="N19" s="43">
        <f t="array" aca="1" ref="N19" ca="1">INDIRECT("'"&amp;$B$3&amp;"'!"&amp;CHAR(64+COLUMN())&amp;(ROW()-4))</f>
        <v>83.264529445234345</v>
      </c>
      <c r="O19" s="43">
        <f t="array" aca="1" ref="O19" ca="1">INDIRECT("'"&amp;$B$3&amp;"'!"&amp;CHAR(64+COLUMN())&amp;(ROW()-4))</f>
        <v>3.3532766336936799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339</v>
      </c>
      <c r="D20" s="43">
        <f t="array" aca="1" ref="D20" ca="1">INDIRECT("'"&amp;$B$3&amp;"'!"&amp;CHAR(64+COLUMN())&amp;(ROW()-4))</f>
        <v>317</v>
      </c>
      <c r="E20" s="43">
        <f t="array" aca="1" ref="E20" ca="1">INDIRECT("'"&amp;$B$3&amp;"'!"&amp;CHAR(64+COLUMN())&amp;(ROW()-4))</f>
        <v>322</v>
      </c>
      <c r="F20" s="43">
        <f t="array" aca="1" ref="F20" ca="1">INDIRECT("'"&amp;$B$3&amp;"'!"&amp;CHAR(64+COLUMN())&amp;(ROW()-4))</f>
        <v>27349</v>
      </c>
      <c r="G20" s="43">
        <f t="array" aca="1" ref="G20" ca="1">INDIRECT("'"&amp;$B$3&amp;"'!"&amp;CHAR(64+COLUMN())&amp;(ROW()-4))</f>
        <v>-3.8805970149253728</v>
      </c>
      <c r="H20" s="43">
        <f t="array" aca="1" ref="H20" ca="1">INDIRECT("'"&amp;$B$3&amp;"'!"&amp;CHAR(64+COLUMN())&amp;(ROW()-4))</f>
        <v>329.8</v>
      </c>
      <c r="I20" s="43">
        <f t="array" aca="1" ref="I20" ca="1">INDIRECT("'"&amp;$B$3&amp;"'!"&amp;CHAR(64+COLUMN())&amp;(ROW()-4))</f>
        <v>323.95</v>
      </c>
      <c r="J20" s="43">
        <f t="array" aca="1" ref="J20" ca="1">INDIRECT("'"&amp;$B$3&amp;"'!"&amp;CHAR(64+COLUMN())&amp;(ROW()-4))</f>
        <v>307.22500000000002</v>
      </c>
      <c r="K20" s="43">
        <f t="array" aca="1" ref="K20" ca="1">INDIRECT("'"&amp;$B$3&amp;"'!"&amp;CHAR(64+COLUMN())&amp;(ROW()-4))</f>
        <v>51.285484101445427</v>
      </c>
      <c r="L20" s="43">
        <f t="array" aca="1" ref="L20" ca="1">INDIRECT("'"&amp;$B$3&amp;"'!"&amp;CHAR(64+COLUMN())&amp;(ROW()-4))</f>
        <v>57.489459951602349</v>
      </c>
      <c r="M20" s="43">
        <f t="array" aca="1" ref="M20" ca="1">INDIRECT("'"&amp;$B$3&amp;"'!"&amp;CHAR(64+COLUMN())&amp;(ROW()-4))</f>
        <v>69.040722076056284</v>
      </c>
      <c r="N20" s="43">
        <f t="array" aca="1" ref="N20" ca="1">INDIRECT("'"&amp;$B$3&amp;"'!"&amp;CHAR(64+COLUMN())&amp;(ROW()-4))</f>
        <v>78.523260322174991</v>
      </c>
      <c r="O20" s="43">
        <f t="array" aca="1" ref="O20" ca="1">INDIRECT("'"&amp;$B$3&amp;"'!"&amp;CHAR(64+COLUMN())&amp;(ROW()-4))</f>
        <v>2.128020155530622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326.5</v>
      </c>
      <c r="D21" s="43">
        <f t="array" aca="1" ref="D21" ca="1">INDIRECT("'"&amp;$B$3&amp;"'!"&amp;CHAR(64+COLUMN())&amp;(ROW()-4))</f>
        <v>318</v>
      </c>
      <c r="E21" s="43">
        <f t="array" aca="1" ref="E21" ca="1">INDIRECT("'"&amp;$B$3&amp;"'!"&amp;CHAR(64+COLUMN())&amp;(ROW()-4))</f>
        <v>323</v>
      </c>
      <c r="F21" s="43">
        <f t="array" aca="1" ref="F21" ca="1">INDIRECT("'"&amp;$B$3&amp;"'!"&amp;CHAR(64+COLUMN())&amp;(ROW()-4))</f>
        <v>18393</v>
      </c>
      <c r="G21" s="43">
        <f t="array" aca="1" ref="G21" ca="1">INDIRECT("'"&amp;$B$3&amp;"'!"&amp;CHAR(64+COLUMN())&amp;(ROW()-4))</f>
        <v>0.3105590062111801</v>
      </c>
      <c r="H21" s="43">
        <f t="array" aca="1" ref="H21" ca="1">INDIRECT("'"&amp;$B$3&amp;"'!"&amp;CHAR(64+COLUMN())&amp;(ROW()-4))</f>
        <v>329.8</v>
      </c>
      <c r="I21" s="43">
        <f t="array" aca="1" ref="I21" ca="1">INDIRECT("'"&amp;$B$3&amp;"'!"&amp;CHAR(64+COLUMN())&amp;(ROW()-4))</f>
        <v>324.10000000000002</v>
      </c>
      <c r="J21" s="43">
        <f t="array" aca="1" ref="J21" ca="1">INDIRECT("'"&amp;$B$3&amp;"'!"&amp;CHAR(64+COLUMN())&amp;(ROW()-4))</f>
        <v>309.125</v>
      </c>
      <c r="K21" s="43">
        <f t="array" aca="1" ref="K21" ca="1">INDIRECT("'"&amp;$B$3&amp;"'!"&amp;CHAR(64+COLUMN())&amp;(ROW()-4))</f>
        <v>52.440590967449538</v>
      </c>
      <c r="L21" s="43">
        <f t="array" aca="1" ref="L21" ca="1">INDIRECT("'"&amp;$B$3&amp;"'!"&amp;CHAR(64+COLUMN())&amp;(ROW()-4))</f>
        <v>58.025156144789683</v>
      </c>
      <c r="M21" s="43">
        <f t="array" aca="1" ref="M21" ca="1">INDIRECT("'"&amp;$B$3&amp;"'!"&amp;CHAR(64+COLUMN())&amp;(ROW()-4))</f>
        <v>60.062235770002431</v>
      </c>
      <c r="N21" s="43">
        <f t="array" aca="1" ref="N21" ca="1">INDIRECT("'"&amp;$B$3&amp;"'!"&amp;CHAR(64+COLUMN())&amp;(ROW()-4))</f>
        <v>72.36958547145079</v>
      </c>
      <c r="O21" s="43">
        <f t="array" aca="1" ref="O21" ca="1">INDIRECT("'"&amp;$B$3&amp;"'!"&amp;CHAR(64+COLUMN())&amp;(ROW()-4))</f>
        <v>1.2274889330000751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328.5</v>
      </c>
      <c r="D22" s="43">
        <f t="array" aca="1" ref="D22" ca="1">INDIRECT("'"&amp;$B$3&amp;"'!"&amp;CHAR(64+COLUMN())&amp;(ROW()-4))</f>
        <v>319.5</v>
      </c>
      <c r="E22" s="43">
        <f t="array" aca="1" ref="E22" ca="1">INDIRECT("'"&amp;$B$3&amp;"'!"&amp;CHAR(64+COLUMN())&amp;(ROW()-4))</f>
        <v>325.5</v>
      </c>
      <c r="F22" s="43">
        <f t="array" aca="1" ref="F22" ca="1">INDIRECT("'"&amp;$B$3&amp;"'!"&amp;CHAR(64+COLUMN())&amp;(ROW()-4))</f>
        <v>16453</v>
      </c>
      <c r="G22" s="43">
        <f t="array" aca="1" ref="G22" ca="1">INDIRECT("'"&amp;$B$3&amp;"'!"&amp;CHAR(64+COLUMN())&amp;(ROW()-4))</f>
        <v>0.77399380804953566</v>
      </c>
      <c r="H22" s="43">
        <f t="array" aca="1" ref="H22" ca="1">INDIRECT("'"&amp;$B$3&amp;"'!"&amp;CHAR(64+COLUMN())&amp;(ROW()-4))</f>
        <v>329.1</v>
      </c>
      <c r="I22" s="43">
        <f t="array" aca="1" ref="I22" ca="1">INDIRECT("'"&amp;$B$3&amp;"'!"&amp;CHAR(64+COLUMN())&amp;(ROW()-4))</f>
        <v>324.75</v>
      </c>
      <c r="J22" s="43">
        <f t="array" aca="1" ref="J22" ca="1">INDIRECT("'"&amp;$B$3&amp;"'!"&amp;CHAR(64+COLUMN())&amp;(ROW()-4))</f>
        <v>311.05</v>
      </c>
      <c r="K22" s="43">
        <f t="array" aca="1" ref="K22" ca="1">INDIRECT("'"&amp;$B$3&amp;"'!"&amp;CHAR(64+COLUMN())&amp;(ROW()-4))</f>
        <v>55.599063872220633</v>
      </c>
      <c r="L22" s="43">
        <f t="array" aca="1" ref="L22" ca="1">INDIRECT("'"&amp;$B$3&amp;"'!"&amp;CHAR(64+COLUMN())&amp;(ROW()-4))</f>
        <v>59.419804262471978</v>
      </c>
      <c r="M22" s="43">
        <f t="array" aca="1" ref="M22" ca="1">INDIRECT("'"&amp;$B$3&amp;"'!"&amp;CHAR(64+COLUMN())&amp;(ROW()-4))</f>
        <v>56.269560688773552</v>
      </c>
      <c r="N22" s="43">
        <f t="array" aca="1" ref="N22" ca="1">INDIRECT("'"&amp;$B$3&amp;"'!"&amp;CHAR(64+COLUMN())&amp;(ROW()-4))</f>
        <v>67.002910543891716</v>
      </c>
      <c r="O22" s="43">
        <f t="array" aca="1" ref="O22" ca="1">INDIRECT("'"&amp;$B$3&amp;"'!"&amp;CHAR(64+COLUMN())&amp;(ROW()-4))</f>
        <v>0.67062534462152179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319.3</v>
      </c>
      <c r="T22" s="55">
        <f ca="1">IF(OR(AND(LEFT($S$15,1)="🔴",RIGHT($S$15,2)="出場"),AND($S$15="🔴 觀望",$S$12="🔴")),ROUND(MAX(H25,E25*(1+N32*1.2)),1),"—")</f>
        <v>322.7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330</v>
      </c>
      <c r="D23" s="43">
        <f t="array" aca="1" ref="D23" ca="1">INDIRECT("'"&amp;$B$3&amp;"'!"&amp;CHAR(64+COLUMN())&amp;(ROW()-4))</f>
        <v>317.5</v>
      </c>
      <c r="E23" s="43">
        <f t="array" aca="1" ref="E23" ca="1">INDIRECT("'"&amp;$B$3&amp;"'!"&amp;CHAR(64+COLUMN())&amp;(ROW()-4))</f>
        <v>321</v>
      </c>
      <c r="F23" s="43">
        <f t="array" aca="1" ref="F23" ca="1">INDIRECT("'"&amp;$B$3&amp;"'!"&amp;CHAR(64+COLUMN())&amp;(ROW()-4))</f>
        <v>15997</v>
      </c>
      <c r="G23" s="43">
        <f t="array" aca="1" ref="G23" ca="1">INDIRECT("'"&amp;$B$3&amp;"'!"&amp;CHAR(64+COLUMN())&amp;(ROW()-4))</f>
        <v>-1.382488479262673</v>
      </c>
      <c r="H23" s="43">
        <f t="array" aca="1" ref="H23" ca="1">INDIRECT("'"&amp;$B$3&amp;"'!"&amp;CHAR(64+COLUMN())&amp;(ROW()-4))</f>
        <v>325.3</v>
      </c>
      <c r="I23" s="43">
        <f t="array" aca="1" ref="I23" ca="1">INDIRECT("'"&amp;$B$3&amp;"'!"&amp;CHAR(64+COLUMN())&amp;(ROW()-4))</f>
        <v>324.55</v>
      </c>
      <c r="J23" s="43">
        <f t="array" aca="1" ref="J23" ca="1">INDIRECT("'"&amp;$B$3&amp;"'!"&amp;CHAR(64+COLUMN())&amp;(ROW()-4))</f>
        <v>312.64999999999998</v>
      </c>
      <c r="K23" s="43">
        <f t="array" aca="1" ref="K23" ca="1">INDIRECT("'"&amp;$B$3&amp;"'!"&amp;CHAR(64+COLUMN())&amp;(ROW()-4))</f>
        <v>48.624042823965112</v>
      </c>
      <c r="L23" s="43">
        <f t="array" aca="1" ref="L23" ca="1">INDIRECT("'"&amp;$B$3&amp;"'!"&amp;CHAR(64+COLUMN())&amp;(ROW()-4))</f>
        <v>55.780494820051899</v>
      </c>
      <c r="M23" s="43">
        <f t="array" aca="1" ref="M23" ca="1">INDIRECT("'"&amp;$B$3&amp;"'!"&amp;CHAR(64+COLUMN())&amp;(ROW()-4))</f>
        <v>47.316962027809822</v>
      </c>
      <c r="N23" s="43">
        <f t="array" aca="1" ref="N23" ca="1">INDIRECT("'"&amp;$B$3&amp;"'!"&amp;CHAR(64+COLUMN())&amp;(ROW()-4))</f>
        <v>60.440927705197737</v>
      </c>
      <c r="O23" s="43">
        <f t="array" aca="1" ref="O23" ca="1">INDIRECT("'"&amp;$B$3&amp;"'!"&amp;CHAR(64+COLUMN())&amp;(ROW()-4))</f>
        <v>-8.9894456680422508E-2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324.39999999999998</v>
      </c>
      <c r="T23" s="59">
        <f ca="1">IF(OR(AND(LEFT($S$15,1)="🔴",RIGHT($S$15,2)="出場"),AND($S$15="🔴 觀望",$S$12="🔴")),ROUND(MAX(I25,E25*(1+N32*1.8)),1),"—")</f>
        <v>327.8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322</v>
      </c>
      <c r="D24" s="43">
        <f t="array" aca="1" ref="D24" ca="1">INDIRECT("'"&amp;$B$3&amp;"'!"&amp;CHAR(64+COLUMN())&amp;(ROW()-4))</f>
        <v>317</v>
      </c>
      <c r="E24" s="43">
        <f t="array" aca="1" ref="E24" ca="1">INDIRECT("'"&amp;$B$3&amp;"'!"&amp;CHAR(64+COLUMN())&amp;(ROW()-4))</f>
        <v>322</v>
      </c>
      <c r="F24" s="43">
        <f t="array" aca="1" ref="F24" ca="1">INDIRECT("'"&amp;$B$3&amp;"'!"&amp;CHAR(64+COLUMN())&amp;(ROW()-4))</f>
        <v>11774</v>
      </c>
      <c r="G24" s="43">
        <f t="array" aca="1" ref="G24" ca="1">INDIRECT("'"&amp;$B$3&amp;"'!"&amp;CHAR(64+COLUMN())&amp;(ROW()-4))</f>
        <v>0.3115264797507788</v>
      </c>
      <c r="H24" s="43">
        <f t="array" aca="1" ref="H24" ca="1">INDIRECT("'"&amp;$B$3&amp;"'!"&amp;CHAR(64+COLUMN())&amp;(ROW()-4))</f>
        <v>322.7</v>
      </c>
      <c r="I24" s="43">
        <f t="array" aca="1" ref="I24" ca="1">INDIRECT("'"&amp;$B$3&amp;"'!"&amp;CHAR(64+COLUMN())&amp;(ROW()-4))</f>
        <v>325.89999999999998</v>
      </c>
      <c r="J24" s="43">
        <f t="array" aca="1" ref="J24" ca="1">INDIRECT("'"&amp;$B$3&amp;"'!"&amp;CHAR(64+COLUMN())&amp;(ROW()-4))</f>
        <v>314.7</v>
      </c>
      <c r="K24" s="43">
        <f t="array" aca="1" ref="K24" ca="1">INDIRECT("'"&amp;$B$3&amp;"'!"&amp;CHAR(64+COLUMN())&amp;(ROW()-4))</f>
        <v>50.287132212119857</v>
      </c>
      <c r="L24" s="43">
        <f t="array" aca="1" ref="L24" ca="1">INDIRECT("'"&amp;$B$3&amp;"'!"&amp;CHAR(64+COLUMN())&amp;(ROW()-4))</f>
        <v>56.427453812077353</v>
      </c>
      <c r="M24" s="43">
        <f t="array" aca="1" ref="M24" ca="1">INDIRECT("'"&amp;$B$3&amp;"'!"&amp;CHAR(64+COLUMN())&amp;(ROW()-4))</f>
        <v>37.497022304254159</v>
      </c>
      <c r="N24" s="43">
        <f t="array" aca="1" ref="N24" ca="1">INDIRECT("'"&amp;$B$3&amp;"'!"&amp;CHAR(64+COLUMN())&amp;(ROW()-4))</f>
        <v>52.792959238216547</v>
      </c>
      <c r="O24" s="43">
        <f t="array" aca="1" ref="O24" ca="1">INDIRECT("'"&amp;$B$3&amp;"'!"&amp;CHAR(64+COLUMN())&amp;(ROW()-4))</f>
        <v>-0.58699228343497012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329.5</v>
      </c>
      <c r="T24" s="61">
        <f ca="1">IF(OR(AND(LEFT($S$15,1)="🔴",RIGHT($S$15,2)="出場"),AND($S$15="🔴 觀望",$S$12="🔴")),ROUND(E25*(1+N32*2.4),1),"—")</f>
        <v>332.9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321</v>
      </c>
      <c r="D25" s="43">
        <f t="array" aca="1" ref="D25" ca="1">INDIRECT("'"&amp;$B$3&amp;"'!"&amp;CHAR(64+COLUMN())&amp;(ROW()-4))</f>
        <v>312</v>
      </c>
      <c r="E25" s="43">
        <f t="array" aca="1" ref="E25" ca="1">INDIRECT("'"&amp;$B$3&amp;"'!"&amp;CHAR(64+COLUMN())&amp;(ROW()-4))</f>
        <v>312.5</v>
      </c>
      <c r="F25" s="43">
        <f t="array" aca="1" ref="F25" ca="1">INDIRECT("'"&amp;$B$3&amp;"'!"&amp;CHAR(64+COLUMN())&amp;(ROW()-4))</f>
        <v>18917</v>
      </c>
      <c r="G25" s="43">
        <f t="array" aca="1" ref="G25" ca="1">INDIRECT("'"&amp;$B$3&amp;"'!"&amp;CHAR(64+COLUMN())&amp;(ROW()-4))</f>
        <v>-2.9503105590062111</v>
      </c>
      <c r="H25" s="43">
        <f t="array" aca="1" ref="H25" ca="1">INDIRECT("'"&amp;$B$3&amp;"'!"&amp;CHAR(64+COLUMN())&amp;(ROW()-4))</f>
        <v>320.8</v>
      </c>
      <c r="I25" s="43">
        <f t="array" aca="1" ref="I25" ca="1">INDIRECT("'"&amp;$B$3&amp;"'!"&amp;CHAR(64+COLUMN())&amp;(ROW()-4))</f>
        <v>325.3</v>
      </c>
      <c r="J25" s="43">
        <f t="array" aca="1" ref="J25" ca="1">INDIRECT("'"&amp;$B$3&amp;"'!"&amp;CHAR(64+COLUMN())&amp;(ROW()-4))</f>
        <v>316.39999999999998</v>
      </c>
      <c r="K25" s="43">
        <f t="array" aca="1" ref="K25" ca="1">INDIRECT("'"&amp;$B$3&amp;"'!"&amp;CHAR(64+COLUMN())&amp;(ROW()-4))</f>
        <v>36.731969557485442</v>
      </c>
      <c r="L25" s="43">
        <f t="array" aca="1" ref="L25" ca="1">INDIRECT("'"&amp;$B$3&amp;"'!"&amp;CHAR(64+COLUMN())&amp;(ROW()-4))</f>
        <v>48.998051880512463</v>
      </c>
      <c r="M25" s="43">
        <f t="array" aca="1" ref="M25" ca="1">INDIRECT("'"&amp;$B$3&amp;"'!"&amp;CHAR(64+COLUMN())&amp;(ROW()-4))</f>
        <v>25.50306537455328</v>
      </c>
      <c r="N25" s="43">
        <f t="array" aca="1" ref="N25" ca="1">INDIRECT("'"&amp;$B$3&amp;"'!"&amp;CHAR(64+COLUMN())&amp;(ROW()-4))</f>
        <v>43.696327950328786</v>
      </c>
      <c r="O25" s="43">
        <f t="array" aca="1" ref="O25" ca="1">INDIRECT("'"&amp;$B$3&amp;"'!"&amp;CHAR(64+COLUMN())&amp;(ROW()-4))</f>
        <v>-1.5616712263163921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312.5、σ=2.72%）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304</v>
      </c>
      <c r="S27" s="69">
        <f ca="1">ROUND((E25*(1-N32)-E25)/E25,4)</f>
        <v>-2.7199999999999998E-2</v>
      </c>
      <c r="T27" s="70" t="str">
        <f ca="1">"再跌 "&amp;TEXT(ABS((E25*(1-N32)-E25)/E25),"0.0%")&amp;" 至 "&amp;TEXT(E25*(1-N32),"0.0")&amp;" 進入積極買進區"</f>
        <v>再跌 2.7% 至 304.0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345</v>
      </c>
      <c r="Q28" s="71" t="s">
        <v>129</v>
      </c>
      <c r="R28" s="72">
        <f ca="1">ROUND(MAX(H25,E25*(1+N32)),1)</f>
        <v>321</v>
      </c>
      <c r="S28" s="73">
        <f ca="1">ROUND((MAX(H25,E25*(1+N32))-E25)/E25,4)</f>
        <v>2.7199999999999998E-2</v>
      </c>
      <c r="T28" s="74" t="str">
        <f ca="1">"再漲 "&amp;TEXT(ABS((MAX(H25,E25*(1+N32))-E25)/E25),"0.0%")&amp;" 至 "&amp;TEXT(MAX(H25,E25*(1+N32)),"0.0")&amp;" 進入反彈賣出區"</f>
        <v>再漲 2.7% 至 321.0 進入反彈賣出區</v>
      </c>
    </row>
    <row r="29" spans="1:20" x14ac:dyDescent="0.2">
      <c r="A29" s="1" t="s">
        <v>130</v>
      </c>
      <c r="B29" s="8">
        <v>5.0599999999999996</v>
      </c>
      <c r="C29" s="8">
        <v>4.37</v>
      </c>
      <c r="D29" s="8">
        <v>4.26</v>
      </c>
      <c r="E29" s="8">
        <v>5.76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284</v>
      </c>
    </row>
    <row r="30" spans="1:20" ht="16" customHeight="1" x14ac:dyDescent="0.2">
      <c r="A30" s="1" t="s">
        <v>132</v>
      </c>
      <c r="B30" s="107">
        <v>19.45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316.39999999999998</v>
      </c>
    </row>
    <row r="31" spans="1:20" x14ac:dyDescent="0.2">
      <c r="A31" s="9" t="s">
        <v>134</v>
      </c>
      <c r="B31" t="s">
        <v>95</v>
      </c>
      <c r="C31" s="10">
        <v>-0.1363636363636363</v>
      </c>
      <c r="D31" s="10">
        <v>-2.5171624713958882E-2</v>
      </c>
      <c r="E31" s="11">
        <v>0.35211267605633811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7.5731497418244406E-2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2.7188936146127895E-2</v>
      </c>
    </row>
    <row r="33" spans="1:14" ht="17" customHeight="1" x14ac:dyDescent="0.2">
      <c r="A33" s="108" t="s">
        <v>155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312.5</v>
      </c>
    </row>
    <row r="34" spans="1:14" x14ac:dyDescent="0.2">
      <c r="A34" t="s">
        <v>141</v>
      </c>
      <c r="B34" s="26">
        <v>13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63.19</v>
      </c>
      <c r="G35" t="s">
        <v>146</v>
      </c>
      <c r="H35" s="27">
        <f>B36*B30</f>
        <v>194.5</v>
      </c>
      <c r="I35" s="27">
        <f>C36*B30</f>
        <v>311.2</v>
      </c>
      <c r="J35" s="27">
        <f>D36*B30</f>
        <v>427.9</v>
      </c>
    </row>
    <row r="36" spans="1:14" x14ac:dyDescent="0.2">
      <c r="A36" t="s">
        <v>147</v>
      </c>
      <c r="B36" s="26">
        <v>10</v>
      </c>
      <c r="C36" s="26">
        <v>16</v>
      </c>
      <c r="D36" s="26">
        <v>22</v>
      </c>
      <c r="G36" t="s">
        <v>148</v>
      </c>
      <c r="H36" s="27">
        <f>B37*B35</f>
        <v>157.97499999999999</v>
      </c>
      <c r="I36" s="27">
        <f>C37*B35</f>
        <v>252.76</v>
      </c>
      <c r="J36" s="27">
        <f>D37*B35</f>
        <v>379.14</v>
      </c>
    </row>
    <row r="37" spans="1:14" x14ac:dyDescent="0.2">
      <c r="A37" t="s">
        <v>149</v>
      </c>
      <c r="B37" s="26">
        <v>2.5</v>
      </c>
      <c r="C37" s="26">
        <v>4</v>
      </c>
      <c r="D37" s="26">
        <v>6</v>
      </c>
      <c r="G37" t="s">
        <v>150</v>
      </c>
      <c r="H37" s="27">
        <f>B34/B38</f>
        <v>216.66666666666669</v>
      </c>
      <c r="I37" s="27">
        <f>B34/C38</f>
        <v>288.88888888888891</v>
      </c>
      <c r="J37" s="27">
        <f>B34/D38</f>
        <v>433.33333333333337</v>
      </c>
    </row>
    <row r="38" spans="1:14" ht="17" customHeight="1" x14ac:dyDescent="0.25">
      <c r="A38" s="40" t="s">
        <v>151</v>
      </c>
      <c r="B38" s="37">
        <v>0.06</v>
      </c>
      <c r="C38" s="37">
        <v>4.4999999999999998E-2</v>
      </c>
      <c r="D38" s="37">
        <v>0.03</v>
      </c>
      <c r="G38" s="29" t="s">
        <v>152</v>
      </c>
      <c r="H38" s="38">
        <f>AVERAGE(H35,H36,H37)</f>
        <v>189.71388888888887</v>
      </c>
      <c r="I38" s="38">
        <f>AVERAGE(I35,I36,I37)</f>
        <v>284.28296296296298</v>
      </c>
      <c r="J38" s="39">
        <f>AVERAGE(J35,J36,J37)</f>
        <v>413.45777777777784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23" priority="1" operator="lessThan">
      <formula>0</formula>
    </cfRule>
  </conditionalFormatting>
  <conditionalFormatting sqref="O6:O25">
    <cfRule type="cellIs" dxfId="22" priority="2" operator="lessThan">
      <formula>0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workbookViewId="0">
      <pane ySplit="5" topLeftCell="A6" activePane="bottomLeft" state="frozen"/>
      <selection activeCell="H18" sqref="H18"/>
      <selection pane="bottomLeft" activeCell="L15" sqref="L15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8.3320312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5" bestFit="1" customWidth="1"/>
    <col min="15" max="15" width="10.5" bestFit="1" customWidth="1"/>
    <col min="16" max="16" width="9.1640625" customWidth="1"/>
    <col min="17" max="17" width="14.1640625" bestFit="1" customWidth="1"/>
    <col min="18" max="18" width="40.83203125" bestFit="1" customWidth="1"/>
    <col min="19" max="19" width="15.33203125" bestFit="1" customWidth="1"/>
    <col min="20" max="20" width="45.1640625" bestFit="1" customWidth="1"/>
  </cols>
  <sheetData>
    <row r="1" spans="1:20" ht="19" customHeight="1" x14ac:dyDescent="0.25">
      <c r="A1" s="105" t="s">
        <v>156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157</v>
      </c>
    </row>
    <row r="3" spans="1:20" x14ac:dyDescent="0.2">
      <c r="A3" s="1" t="s">
        <v>2</v>
      </c>
      <c r="B3" s="2">
        <v>2395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334</v>
      </c>
      <c r="D6" s="43">
        <f t="array" aca="1" ref="D6" ca="1">INDIRECT("'"&amp;$B$3&amp;"'!"&amp;CHAR(64+COLUMN())&amp;(ROW()-4))</f>
        <v>328</v>
      </c>
      <c r="E6" s="43">
        <f t="array" aca="1" ref="E6" ca="1">INDIRECT("'"&amp;$B$3&amp;"'!"&amp;CHAR(64+COLUMN())&amp;(ROW()-4))</f>
        <v>331</v>
      </c>
      <c r="F6" s="43">
        <f t="array" aca="1" ref="F6" ca="1">INDIRECT("'"&amp;$B$3&amp;"'!"&amp;CHAR(64+COLUMN())&amp;(ROW()-4))</f>
        <v>1943</v>
      </c>
      <c r="G6" s="43">
        <f t="array" aca="1" ref="G6" ca="1">INDIRECT("'"&amp;$B$3&amp;"'!"&amp;CHAR(64+COLUMN())&amp;(ROW()-4))</f>
        <v>3.9246467817896389</v>
      </c>
      <c r="H6" s="43">
        <f t="array" aca="1" ref="H6" ca="1">INDIRECT("'"&amp;$B$3&amp;"'!"&amp;CHAR(64+COLUMN())&amp;(ROW()-4))</f>
        <v>328.5</v>
      </c>
      <c r="I6" s="43">
        <f t="array" aca="1" ref="I6" ca="1">INDIRECT("'"&amp;$B$3&amp;"'!"&amp;CHAR(64+COLUMN())&amp;(ROW()-4))</f>
        <v>332.2</v>
      </c>
      <c r="J6" s="43">
        <f t="array" aca="1" ref="J6" ca="1">INDIRECT("'"&amp;$B$3&amp;"'!"&amp;CHAR(64+COLUMN())&amp;(ROW()-4))</f>
        <v>340.125</v>
      </c>
      <c r="K6" s="43">
        <f t="array" aca="1" ref="K6" ca="1">INDIRECT("'"&amp;$B$3&amp;"'!"&amp;CHAR(64+COLUMN())&amp;(ROW()-4))</f>
        <v>49.074434730492953</v>
      </c>
      <c r="L6" s="43">
        <f t="array" aca="1" ref="L6" ca="1">INDIRECT("'"&amp;$B$3&amp;"'!"&amp;CHAR(64+COLUMN())&amp;(ROW()-4))</f>
        <v>50.132415033337907</v>
      </c>
      <c r="M6" s="43">
        <f t="array" aca="1" ref="M6" ca="1">INDIRECT("'"&amp;$B$3&amp;"'!"&amp;CHAR(64+COLUMN())&amp;(ROW()-4))</f>
        <v>27.928368494331352</v>
      </c>
      <c r="N6" s="43">
        <f t="array" aca="1" ref="N6" ca="1">INDIRECT("'"&amp;$B$3&amp;"'!"&amp;CHAR(64+COLUMN())&amp;(ROW()-4))</f>
        <v>22.301755244234851</v>
      </c>
      <c r="O6" s="43">
        <f t="array" aca="1" ref="O6" ca="1">INDIRECT("'"&amp;$B$3&amp;"'!"&amp;CHAR(64+COLUMN())&amp;(ROW()-4))</f>
        <v>-3.6899713103811091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334</v>
      </c>
      <c r="D7" s="43">
        <f t="array" aca="1" ref="D7" ca="1">INDIRECT("'"&amp;$B$3&amp;"'!"&amp;CHAR(64+COLUMN())&amp;(ROW()-4))</f>
        <v>317</v>
      </c>
      <c r="E7" s="43">
        <f t="array" aca="1" ref="E7" ca="1">INDIRECT("'"&amp;$B$3&amp;"'!"&amp;CHAR(64+COLUMN())&amp;(ROW()-4))</f>
        <v>323.5</v>
      </c>
      <c r="F7" s="43">
        <f t="array" aca="1" ref="F7" ca="1">INDIRECT("'"&amp;$B$3&amp;"'!"&amp;CHAR(64+COLUMN())&amp;(ROW()-4))</f>
        <v>2038</v>
      </c>
      <c r="G7" s="43">
        <f t="array" aca="1" ref="G7" ca="1">INDIRECT("'"&amp;$B$3&amp;"'!"&amp;CHAR(64+COLUMN())&amp;(ROW()-4))</f>
        <v>-2.2658610271903319</v>
      </c>
      <c r="H7" s="43">
        <f t="array" aca="1" ref="H7" ca="1">INDIRECT("'"&amp;$B$3&amp;"'!"&amp;CHAR(64+COLUMN())&amp;(ROW()-4))</f>
        <v>325.39999999999998</v>
      </c>
      <c r="I7" s="43">
        <f t="array" aca="1" ref="I7" ca="1">INDIRECT("'"&amp;$B$3&amp;"'!"&amp;CHAR(64+COLUMN())&amp;(ROW()-4))</f>
        <v>330.35</v>
      </c>
      <c r="J7" s="43">
        <f t="array" aca="1" ref="J7" ca="1">INDIRECT("'"&amp;$B$3&amp;"'!"&amp;CHAR(64+COLUMN())&amp;(ROW()-4))</f>
        <v>339.17500000000001</v>
      </c>
      <c r="K7" s="43">
        <f t="array" aca="1" ref="K7" ca="1">INDIRECT("'"&amp;$B$3&amp;"'!"&amp;CHAR(64+COLUMN())&amp;(ROW()-4))</f>
        <v>40.538537821426779</v>
      </c>
      <c r="L7" s="43">
        <f t="array" aca="1" ref="L7" ca="1">INDIRECT("'"&amp;$B$3&amp;"'!"&amp;CHAR(64+COLUMN())&amp;(ROW()-4))</f>
        <v>45.723957628882907</v>
      </c>
      <c r="M7" s="43">
        <f t="array" aca="1" ref="M7" ca="1">INDIRECT("'"&amp;$B$3&amp;"'!"&amp;CHAR(64+COLUMN())&amp;(ROW()-4))</f>
        <v>28.719922430564331</v>
      </c>
      <c r="N7" s="43">
        <f t="array" aca="1" ref="N7" ca="1">INDIRECT("'"&amp;$B$3&amp;"'!"&amp;CHAR(64+COLUMN())&amp;(ROW()-4))</f>
        <v>24.441144306344679</v>
      </c>
      <c r="O7" s="43">
        <f t="array" aca="1" ref="O7" ca="1">INDIRECT("'"&amp;$B$3&amp;"'!"&amp;CHAR(64+COLUMN())&amp;(ROW()-4))</f>
        <v>-3.6248999912227182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325.5</v>
      </c>
      <c r="D8" s="43">
        <f t="array" aca="1" ref="D8" ca="1">INDIRECT("'"&amp;$B$3&amp;"'!"&amp;CHAR(64+COLUMN())&amp;(ROW()-4))</f>
        <v>318.5</v>
      </c>
      <c r="E8" s="43">
        <f t="array" aca="1" ref="E8" ca="1">INDIRECT("'"&amp;$B$3&amp;"'!"&amp;CHAR(64+COLUMN())&amp;(ROW()-4))</f>
        <v>322.5</v>
      </c>
      <c r="F8" s="43">
        <f t="array" aca="1" ref="F8" ca="1">INDIRECT("'"&amp;$B$3&amp;"'!"&amp;CHAR(64+COLUMN())&amp;(ROW()-4))</f>
        <v>1325</v>
      </c>
      <c r="G8" s="43">
        <f t="array" aca="1" ref="G8" ca="1">INDIRECT("'"&amp;$B$3&amp;"'!"&amp;CHAR(64+COLUMN())&amp;(ROW()-4))</f>
        <v>-0.30911901081916537</v>
      </c>
      <c r="H8" s="43">
        <f t="array" aca="1" ref="H8" ca="1">INDIRECT("'"&amp;$B$3&amp;"'!"&amp;CHAR(64+COLUMN())&amp;(ROW()-4))</f>
        <v>323.39999999999998</v>
      </c>
      <c r="I8" s="43">
        <f t="array" aca="1" ref="I8" ca="1">INDIRECT("'"&amp;$B$3&amp;"'!"&amp;CHAR(64+COLUMN())&amp;(ROW()-4))</f>
        <v>328.2</v>
      </c>
      <c r="J8" s="43">
        <f t="array" aca="1" ref="J8" ca="1">INDIRECT("'"&amp;$B$3&amp;"'!"&amp;CHAR(64+COLUMN())&amp;(ROW()-4))</f>
        <v>336.55</v>
      </c>
      <c r="K8" s="43">
        <f t="array" aca="1" ref="K8" ca="1">INDIRECT("'"&amp;$B$3&amp;"'!"&amp;CHAR(64+COLUMN())&amp;(ROW()-4))</f>
        <v>39.440896086476997</v>
      </c>
      <c r="L8" s="43">
        <f t="array" aca="1" ref="L8" ca="1">INDIRECT("'"&amp;$B$3&amp;"'!"&amp;CHAR(64+COLUMN())&amp;(ROW()-4))</f>
        <v>45.146500940237623</v>
      </c>
      <c r="M8" s="43">
        <f t="array" aca="1" ref="M8" ca="1">INDIRECT("'"&amp;$B$3&amp;"'!"&amp;CHAR(64+COLUMN())&amp;(ROW()-4))</f>
        <v>28.237524044618642</v>
      </c>
      <c r="N8" s="43">
        <f t="array" aca="1" ref="N8" ca="1">INDIRECT("'"&amp;$B$3&amp;"'!"&amp;CHAR(64+COLUMN())&amp;(ROW()-4))</f>
        <v>25.706604219102669</v>
      </c>
      <c r="O8" s="43">
        <f t="array" aca="1" ref="O8" ca="1">INDIRECT("'"&amp;$B$3&amp;"'!"&amp;CHAR(64+COLUMN())&amp;(ROW()-4))</f>
        <v>-3.5037260104464618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MA10=362.1  MA20=351.5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351.5</v>
      </c>
      <c r="D9" s="43">
        <f t="array" aca="1" ref="D9" ca="1">INDIRECT("'"&amp;$B$3&amp;"'!"&amp;CHAR(64+COLUMN())&amp;(ROW()-4))</f>
        <v>335</v>
      </c>
      <c r="E9" s="43">
        <f t="array" aca="1" ref="E9" ca="1">INDIRECT("'"&amp;$B$3&amp;"'!"&amp;CHAR(64+COLUMN())&amp;(ROW()-4))</f>
        <v>348.5</v>
      </c>
      <c r="F9" s="43">
        <f t="array" aca="1" ref="F9" ca="1">INDIRECT("'"&amp;$B$3&amp;"'!"&amp;CHAR(64+COLUMN())&amp;(ROW()-4))</f>
        <v>3507</v>
      </c>
      <c r="G9" s="43">
        <f t="array" aca="1" ref="G9" ca="1">INDIRECT("'"&amp;$B$3&amp;"'!"&amp;CHAR(64+COLUMN())&amp;(ROW()-4))</f>
        <v>8.0620155038759691</v>
      </c>
      <c r="H9" s="43">
        <f t="array" aca="1" ref="H9" ca="1">INDIRECT("'"&amp;$B$3&amp;"'!"&amp;CHAR(64+COLUMN())&amp;(ROW()-4))</f>
        <v>328.8</v>
      </c>
      <c r="I9" s="43">
        <f t="array" aca="1" ref="I9" ca="1">INDIRECT("'"&amp;$B$3&amp;"'!"&amp;CHAR(64+COLUMN())&amp;(ROW()-4))</f>
        <v>330.05</v>
      </c>
      <c r="J9" s="43">
        <f t="array" aca="1" ref="J9" ca="1">INDIRECT("'"&amp;$B$3&amp;"'!"&amp;CHAR(64+COLUMN())&amp;(ROW()-4))</f>
        <v>336.625</v>
      </c>
      <c r="K9" s="43">
        <f t="array" aca="1" ref="K9" ca="1">INDIRECT("'"&amp;$B$3&amp;"'!"&amp;CHAR(64+COLUMN())&amp;(ROW()-4))</f>
        <v>67.172844299035788</v>
      </c>
      <c r="L9" s="43">
        <f t="array" aca="1" ref="L9" ca="1">INDIRECT("'"&amp;$B$3&amp;"'!"&amp;CHAR(64+COLUMN())&amp;(ROW()-4))</f>
        <v>59.613384135059917</v>
      </c>
      <c r="M9" s="43">
        <f t="array" aca="1" ref="M9" ca="1">INDIRECT("'"&amp;$B$3&amp;"'!"&amp;CHAR(64+COLUMN())&amp;(ROW()-4))</f>
        <v>49.526770415710672</v>
      </c>
      <c r="N9" s="43">
        <f t="array" aca="1" ref="N9" ca="1">INDIRECT("'"&amp;$B$3&amp;"'!"&amp;CHAR(64+COLUMN())&amp;(ROW()-4))</f>
        <v>33.646659617971999</v>
      </c>
      <c r="O9" s="43">
        <f t="array" aca="1" ref="O9" ca="1">INDIRECT("'"&amp;$B$3&amp;"'!"&amp;CHAR(64+COLUMN())&amp;(ROW()-4))</f>
        <v>-1.622677485174544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KD金叉:✗(K=53)  RSI6:51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353.5</v>
      </c>
      <c r="D10" s="43">
        <f t="array" aca="1" ref="D10" ca="1">INDIRECT("'"&amp;$B$3&amp;"'!"&amp;CHAR(64+COLUMN())&amp;(ROW()-4))</f>
        <v>345</v>
      </c>
      <c r="E10" s="43">
        <f t="array" aca="1" ref="E10" ca="1">INDIRECT("'"&amp;$B$3&amp;"'!"&amp;CHAR(64+COLUMN())&amp;(ROW()-4))</f>
        <v>348</v>
      </c>
      <c r="F10" s="43">
        <f t="array" aca="1" ref="F10" ca="1">INDIRECT("'"&amp;$B$3&amp;"'!"&amp;CHAR(64+COLUMN())&amp;(ROW()-4))</f>
        <v>2795</v>
      </c>
      <c r="G10" s="43">
        <f t="array" aca="1" ref="G10" ca="1">INDIRECT("'"&amp;$B$3&amp;"'!"&amp;CHAR(64+COLUMN())&amp;(ROW()-4))</f>
        <v>-0.14347202295552369</v>
      </c>
      <c r="H10" s="43">
        <f t="array" aca="1" ref="H10" ca="1">INDIRECT("'"&amp;$B$3&amp;"'!"&amp;CHAR(64+COLUMN())&amp;(ROW()-4))</f>
        <v>334.7</v>
      </c>
      <c r="I10" s="43">
        <f t="array" aca="1" ref="I10" ca="1">INDIRECT("'"&amp;$B$3&amp;"'!"&amp;CHAR(64+COLUMN())&amp;(ROW()-4))</f>
        <v>331.85</v>
      </c>
      <c r="J10" s="43">
        <f t="array" aca="1" ref="J10" ca="1">INDIRECT("'"&amp;$B$3&amp;"'!"&amp;CHAR(64+COLUMN())&amp;(ROW()-4))</f>
        <v>336.75</v>
      </c>
      <c r="K10" s="43">
        <f t="array" aca="1" ref="K10" ca="1">INDIRECT("'"&amp;$B$3&amp;"'!"&amp;CHAR(64+COLUMN())&amp;(ROW()-4))</f>
        <v>66.470407614172274</v>
      </c>
      <c r="L10" s="43">
        <f t="array" aca="1" ref="L10" ca="1">INDIRECT("'"&amp;$B$3&amp;"'!"&amp;CHAR(64+COLUMN())&amp;(ROW()-4))</f>
        <v>59.28536186393243</v>
      </c>
      <c r="M10" s="43">
        <f t="array" aca="1" ref="M10" ca="1">INDIRECT("'"&amp;$B$3&amp;"'!"&amp;CHAR(64+COLUMN())&amp;(ROW()-4))</f>
        <v>61.767846943807108</v>
      </c>
      <c r="N10" s="43">
        <f t="array" aca="1" ref="N10" ca="1">INDIRECT("'"&amp;$B$3&amp;"'!"&amp;CHAR(64+COLUMN())&amp;(ROW()-4))</f>
        <v>43.020388726583697</v>
      </c>
      <c r="O10" s="43">
        <f t="array" aca="1" ref="O10" ca="1">INDIRECT("'"&amp;$B$3&amp;"'!"&amp;CHAR(64+COLUMN())&amp;(ROW()-4))</f>
        <v>-0.42465104277387938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🟡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今量=3,072  5日均=2,824  比值=1.09x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356</v>
      </c>
      <c r="D11" s="43">
        <f t="array" aca="1" ref="D11" ca="1">INDIRECT("'"&amp;$B$3&amp;"'!"&amp;CHAR(64+COLUMN())&amp;(ROW()-4))</f>
        <v>343.5</v>
      </c>
      <c r="E11" s="43">
        <f t="array" aca="1" ref="E11" ca="1">INDIRECT("'"&amp;$B$3&amp;"'!"&amp;CHAR(64+COLUMN())&amp;(ROW()-4))</f>
        <v>346</v>
      </c>
      <c r="F11" s="43">
        <f t="array" aca="1" ref="F11" ca="1">INDIRECT("'"&amp;$B$3&amp;"'!"&amp;CHAR(64+COLUMN())&amp;(ROW()-4))</f>
        <v>2574</v>
      </c>
      <c r="G11" s="43">
        <f t="array" aca="1" ref="G11" ca="1">INDIRECT("'"&amp;$B$3&amp;"'!"&amp;CHAR(64+COLUMN())&amp;(ROW()-4))</f>
        <v>-0.57471264367816088</v>
      </c>
      <c r="H11" s="43">
        <f t="array" aca="1" ref="H11" ca="1">INDIRECT("'"&amp;$B$3&amp;"'!"&amp;CHAR(64+COLUMN())&amp;(ROW()-4))</f>
        <v>337.7</v>
      </c>
      <c r="I11" s="43">
        <f t="array" aca="1" ref="I11" ca="1">INDIRECT("'"&amp;$B$3&amp;"'!"&amp;CHAR(64+COLUMN())&amp;(ROW()-4))</f>
        <v>333.1</v>
      </c>
      <c r="J11" s="43">
        <f t="array" aca="1" ref="J11" ca="1">INDIRECT("'"&amp;$B$3&amp;"'!"&amp;CHAR(64+COLUMN())&amp;(ROW()-4))</f>
        <v>336.75</v>
      </c>
      <c r="K11" s="43">
        <f t="array" aca="1" ref="K11" ca="1">INDIRECT("'"&amp;$B$3&amp;"'!"&amp;CHAR(64+COLUMN())&amp;(ROW()-4))</f>
        <v>63.29343584499771</v>
      </c>
      <c r="L11" s="43">
        <f t="array" aca="1" ref="L11" ca="1">INDIRECT("'"&amp;$B$3&amp;"'!"&amp;CHAR(64+COLUMN())&amp;(ROW()-4))</f>
        <v>57.895245965774521</v>
      </c>
      <c r="M11" s="43">
        <f t="array" aca="1" ref="M11" ca="1">INDIRECT("'"&amp;$B$3&amp;"'!"&amp;CHAR(64+COLUMN())&amp;(ROW()-4))</f>
        <v>66.66876070763611</v>
      </c>
      <c r="N11" s="43">
        <f t="array" aca="1" ref="N11" ca="1">INDIRECT("'"&amp;$B$3&amp;"'!"&amp;CHAR(64+COLUMN())&amp;(ROW()-4))</f>
        <v>50.903179386934497</v>
      </c>
      <c r="O11" s="43">
        <f t="array" aca="1" ref="O11" ca="1">INDIRECT("'"&amp;$B$3&amp;"'!"&amp;CHAR(64+COLUMN())&amp;(ROW()-4))</f>
        <v>0.18770923456225569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MA10=362.1  中 -5%=341.5  鬆 MA20=351.5  (σ=2.3%)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346.5</v>
      </c>
      <c r="D12" s="43">
        <f t="array" aca="1" ref="D12" ca="1">INDIRECT("'"&amp;$B$3&amp;"'!"&amp;CHAR(64+COLUMN())&amp;(ROW()-4))</f>
        <v>339.5</v>
      </c>
      <c r="E12" s="43">
        <f t="array" aca="1" ref="E12" ca="1">INDIRECT("'"&amp;$B$3&amp;"'!"&amp;CHAR(64+COLUMN())&amp;(ROW()-4))</f>
        <v>342.5</v>
      </c>
      <c r="F12" s="43">
        <f t="array" aca="1" ref="F12" ca="1">INDIRECT("'"&amp;$B$3&amp;"'!"&amp;CHAR(64+COLUMN())&amp;(ROW()-4))</f>
        <v>2053</v>
      </c>
      <c r="G12" s="43">
        <f t="array" aca="1" ref="G12" ca="1">INDIRECT("'"&amp;$B$3&amp;"'!"&amp;CHAR(64+COLUMN())&amp;(ROW()-4))</f>
        <v>-1.011560693641619</v>
      </c>
      <c r="H12" s="43">
        <f t="array" aca="1" ref="H12" ca="1">INDIRECT("'"&amp;$B$3&amp;"'!"&amp;CHAR(64+COLUMN())&amp;(ROW()-4))</f>
        <v>341.5</v>
      </c>
      <c r="I12" s="43">
        <f t="array" aca="1" ref="I12" ca="1">INDIRECT("'"&amp;$B$3&amp;"'!"&amp;CHAR(64+COLUMN())&amp;(ROW()-4))</f>
        <v>333.45</v>
      </c>
      <c r="J12" s="43">
        <f t="array" aca="1" ref="J12" ca="1">INDIRECT("'"&amp;$B$3&amp;"'!"&amp;CHAR(64+COLUMN())&amp;(ROW()-4))</f>
        <v>336.625</v>
      </c>
      <c r="K12" s="43">
        <f t="array" aca="1" ref="K12" ca="1">INDIRECT("'"&amp;$B$3&amp;"'!"&amp;CHAR(64+COLUMN())&amp;(ROW()-4))</f>
        <v>57.520134806303098</v>
      </c>
      <c r="L12" s="43">
        <f t="array" aca="1" ref="L12" ca="1">INDIRECT("'"&amp;$B$3&amp;"'!"&amp;CHAR(64+COLUMN())&amp;(ROW()-4))</f>
        <v>55.414657073044943</v>
      </c>
      <c r="M12" s="43">
        <f t="array" aca="1" ref="M12" ca="1">INDIRECT("'"&amp;$B$3&amp;"'!"&amp;CHAR(64+COLUMN())&amp;(ROW()-4))</f>
        <v>67.190938510973098</v>
      </c>
      <c r="N12" s="43">
        <f t="array" aca="1" ref="N12" ca="1">INDIRECT("'"&amp;$B$3&amp;"'!"&amp;CHAR(64+COLUMN())&amp;(ROW()-4))</f>
        <v>56.332432428280697</v>
      </c>
      <c r="O12" s="43">
        <f t="array" aca="1" ref="O12" ca="1">INDIRECT("'"&amp;$B$3&amp;"'!"&amp;CHAR(64+COLUMN())&amp;(ROW()-4))</f>
        <v>0.30473004521805352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🟡</v>
      </c>
      <c r="T12" t="str">
        <f ca="1">"收盤="&amp;TEXT(E25,"0.0")&amp;"  MA5="&amp;TEXT(H25,"0.0")&amp;IF(E25&gt;H25,"  守穩",IF(AND(E25&lt;H25,E24&lt;H24),"  連2日跌破","  單日跌破(警示)"))</f>
        <v>收盤=359.5  MA5=361.9  單日跌破(警示)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349.5</v>
      </c>
      <c r="D13" s="43">
        <f t="array" aca="1" ref="D13" ca="1">INDIRECT("'"&amp;$B$3&amp;"'!"&amp;CHAR(64+COLUMN())&amp;(ROW()-4))</f>
        <v>342.5</v>
      </c>
      <c r="E13" s="43">
        <f t="array" aca="1" ref="E13" ca="1">INDIRECT("'"&amp;$B$3&amp;"'!"&amp;CHAR(64+COLUMN())&amp;(ROW()-4))</f>
        <v>344</v>
      </c>
      <c r="F13" s="43">
        <f t="array" aca="1" ref="F13" ca="1">INDIRECT("'"&amp;$B$3&amp;"'!"&amp;CHAR(64+COLUMN())&amp;(ROW()-4))</f>
        <v>2414</v>
      </c>
      <c r="G13" s="43">
        <f t="array" aca="1" ref="G13" ca="1">INDIRECT("'"&amp;$B$3&amp;"'!"&amp;CHAR(64+COLUMN())&amp;(ROW()-4))</f>
        <v>0.43795620437956212</v>
      </c>
      <c r="H13" s="43">
        <f t="array" aca="1" ref="H13" ca="1">INDIRECT("'"&amp;$B$3&amp;"'!"&amp;CHAR(64+COLUMN())&amp;(ROW()-4))</f>
        <v>345.8</v>
      </c>
      <c r="I13" s="43">
        <f t="array" aca="1" ref="I13" ca="1">INDIRECT("'"&amp;$B$3&amp;"'!"&amp;CHAR(64+COLUMN())&amp;(ROW()-4))</f>
        <v>334.6</v>
      </c>
      <c r="J13" s="43">
        <f t="array" aca="1" ref="J13" ca="1">INDIRECT("'"&amp;$B$3&amp;"'!"&amp;CHAR(64+COLUMN())&amp;(ROW()-4))</f>
        <v>336.7</v>
      </c>
      <c r="K13" s="43">
        <f t="array" aca="1" ref="K13" ca="1">INDIRECT("'"&amp;$B$3&amp;"'!"&amp;CHAR(64+COLUMN())&amp;(ROW()-4))</f>
        <v>59.423593996429531</v>
      </c>
      <c r="L13" s="43">
        <f t="array" aca="1" ref="L13" ca="1">INDIRECT("'"&amp;$B$3&amp;"'!"&amp;CHAR(64+COLUMN())&amp;(ROW()-4))</f>
        <v>56.290249495650222</v>
      </c>
      <c r="M13" s="43">
        <f t="array" aca="1" ref="M13" ca="1">INDIRECT("'"&amp;$B$3&amp;"'!"&amp;CHAR(64+COLUMN())&amp;(ROW()-4))</f>
        <v>68.715527634766374</v>
      </c>
      <c r="N13" s="43">
        <f t="array" aca="1" ref="N13" ca="1">INDIRECT("'"&amp;$B$3&amp;"'!"&amp;CHAR(64+COLUMN())&amp;(ROW()-4))</f>
        <v>60.460130830442587</v>
      </c>
      <c r="O13" s="43">
        <f t="array" aca="1" ref="O13" ca="1">INDIRECT("'"&amp;$B$3&amp;"'!"&amp;CHAR(64+COLUMN())&amp;(ROW()-4))</f>
        <v>0.42354102789114639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🟢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351.5</v>
      </c>
      <c r="D14" s="43">
        <f t="array" aca="1" ref="D14" ca="1">INDIRECT("'"&amp;$B$3&amp;"'!"&amp;CHAR(64+COLUMN())&amp;(ROW()-4))</f>
        <v>345.5</v>
      </c>
      <c r="E14" s="43">
        <f t="array" aca="1" ref="E14" ca="1">INDIRECT("'"&amp;$B$3&amp;"'!"&amp;CHAR(64+COLUMN())&amp;(ROW()-4))</f>
        <v>348</v>
      </c>
      <c r="F14" s="43">
        <f t="array" aca="1" ref="F14" ca="1">INDIRECT("'"&amp;$B$3&amp;"'!"&amp;CHAR(64+COLUMN())&amp;(ROW()-4))</f>
        <v>2818</v>
      </c>
      <c r="G14" s="43">
        <f t="array" aca="1" ref="G14" ca="1">INDIRECT("'"&amp;$B$3&amp;"'!"&amp;CHAR(64+COLUMN())&amp;(ROW()-4))</f>
        <v>1.1627906976744189</v>
      </c>
      <c r="H14" s="43">
        <f t="array" aca="1" ref="H14" ca="1">INDIRECT("'"&amp;$B$3&amp;"'!"&amp;CHAR(64+COLUMN())&amp;(ROW()-4))</f>
        <v>345.7</v>
      </c>
      <c r="I14" s="43">
        <f t="array" aca="1" ref="I14" ca="1">INDIRECT("'"&amp;$B$3&amp;"'!"&amp;CHAR(64+COLUMN())&amp;(ROW()-4))</f>
        <v>337.25</v>
      </c>
      <c r="J14" s="43">
        <f t="array" aca="1" ref="J14" ca="1">INDIRECT("'"&amp;$B$3&amp;"'!"&amp;CHAR(64+COLUMN())&amp;(ROW()-4))</f>
        <v>337.1</v>
      </c>
      <c r="K14" s="43">
        <f t="array" aca="1" ref="K14" ca="1">INDIRECT("'"&amp;$B$3&amp;"'!"&amp;CHAR(64+COLUMN())&amp;(ROW()-4))</f>
        <v>64.512104385123138</v>
      </c>
      <c r="L14" s="43">
        <f t="array" aca="1" ref="L14" ca="1">INDIRECT("'"&amp;$B$3&amp;"'!"&amp;CHAR(64+COLUMN())&amp;(ROW()-4))</f>
        <v>58.652451026332649</v>
      </c>
      <c r="M14" s="43">
        <f t="array" aca="1" ref="M14" ca="1">INDIRECT("'"&amp;$B$3&amp;"'!"&amp;CHAR(64+COLUMN())&amp;(ROW()-4))</f>
        <v>72.306078252237398</v>
      </c>
      <c r="N14" s="43">
        <f t="array" aca="1" ref="N14" ca="1">INDIRECT("'"&amp;$B$3&amp;"'!"&amp;CHAR(64+COLUMN())&amp;(ROW()-4))</f>
        <v>64.408779971040858</v>
      </c>
      <c r="O14" s="43">
        <f t="array" aca="1" ref="O14" ca="1">INDIRECT("'"&amp;$B$3&amp;"'!"&amp;CHAR(64+COLUMN())&amp;(ROW()-4))</f>
        <v>0.69582461153373654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362</v>
      </c>
      <c r="D15" s="43">
        <f t="array" aca="1" ref="D15" ca="1">INDIRECT("'"&amp;$B$3&amp;"'!"&amp;CHAR(64+COLUMN())&amp;(ROW()-4))</f>
        <v>351.5</v>
      </c>
      <c r="E15" s="43">
        <f t="array" aca="1" ref="E15" ca="1">INDIRECT("'"&amp;$B$3&amp;"'!"&amp;CHAR(64+COLUMN())&amp;(ROW()-4))</f>
        <v>355</v>
      </c>
      <c r="F15" s="43">
        <f t="array" aca="1" ref="F15" ca="1">INDIRECT("'"&amp;$B$3&amp;"'!"&amp;CHAR(64+COLUMN())&amp;(ROW()-4))</f>
        <v>3946</v>
      </c>
      <c r="G15" s="43">
        <f t="array" aca="1" ref="G15" ca="1">INDIRECT("'"&amp;$B$3&amp;"'!"&amp;CHAR(64+COLUMN())&amp;(ROW()-4))</f>
        <v>2.0114942528735629</v>
      </c>
      <c r="H15" s="43">
        <f t="array" aca="1" ref="H15" ca="1">INDIRECT("'"&amp;$B$3&amp;"'!"&amp;CHAR(64+COLUMN())&amp;(ROW()-4))</f>
        <v>347.1</v>
      </c>
      <c r="I15" s="43">
        <f t="array" aca="1" ref="I15" ca="1">INDIRECT("'"&amp;$B$3&amp;"'!"&amp;CHAR(64+COLUMN())&amp;(ROW()-4))</f>
        <v>340.9</v>
      </c>
      <c r="J15" s="43">
        <f t="array" aca="1" ref="J15" ca="1">INDIRECT("'"&amp;$B$3&amp;"'!"&amp;CHAR(64+COLUMN())&amp;(ROW()-4))</f>
        <v>337.45</v>
      </c>
      <c r="K15" s="43">
        <f t="array" aca="1" ref="K15" ca="1">INDIRECT("'"&amp;$B$3&amp;"'!"&amp;CHAR(64+COLUMN())&amp;(ROW()-4))</f>
        <v>71.909729299531335</v>
      </c>
      <c r="L15" s="43">
        <f t="array" aca="1" ref="L15" ca="1">INDIRECT("'"&amp;$B$3&amp;"'!"&amp;CHAR(64+COLUMN())&amp;(ROW()-4))</f>
        <v>62.519426811415222</v>
      </c>
      <c r="M15" s="43">
        <f t="array" aca="1" ref="M15" ca="1">INDIRECT("'"&amp;$B$3&amp;"'!"&amp;CHAR(64+COLUMN())&amp;(ROW()-4))</f>
        <v>76.352200316306408</v>
      </c>
      <c r="N15" s="43">
        <f t="array" aca="1" ref="N15" ca="1">INDIRECT("'"&amp;$B$3&amp;"'!"&amp;CHAR(64+COLUMN())&amp;(ROW()-4))</f>
        <v>68.389920086129365</v>
      </c>
      <c r="O15" s="43">
        <f t="array" aca="1" ref="O15" ca="1">INDIRECT("'"&amp;$B$3&amp;"'!"&amp;CHAR(64+COLUMN())&amp;(ROW()-4))</f>
        <v>1.2398953592363331</v>
      </c>
      <c r="Q15" s="49" t="s">
        <v>46</v>
      </c>
      <c r="R15" s="50" t="str">
        <f ca="1">"通過 "&amp;(COUNTIF(S7:S13,"🟢"))&amp;" / 7  警示 "&amp;COUNTIF(S7:S13,"🟡")&amp;"  危險 "&amp;COUNTIF(S7:S13,"🔴")</f>
        <v>通過 3 / 7  警示 2  危險 1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🟡 等待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372</v>
      </c>
      <c r="D16" s="43">
        <f t="array" aca="1" ref="D16" ca="1">INDIRECT("'"&amp;$B$3&amp;"'!"&amp;CHAR(64+COLUMN())&amp;(ROW()-4))</f>
        <v>359.5</v>
      </c>
      <c r="E16" s="43">
        <f t="array" aca="1" ref="E16" ca="1">INDIRECT("'"&amp;$B$3&amp;"'!"&amp;CHAR(64+COLUMN())&amp;(ROW()-4))</f>
        <v>366</v>
      </c>
      <c r="F16" s="43">
        <f t="array" aca="1" ref="F16" ca="1">INDIRECT("'"&amp;$B$3&amp;"'!"&amp;CHAR(64+COLUMN())&amp;(ROW()-4))</f>
        <v>5334</v>
      </c>
      <c r="G16" s="43">
        <f t="array" aca="1" ref="G16" ca="1">INDIRECT("'"&amp;$B$3&amp;"'!"&amp;CHAR(64+COLUMN())&amp;(ROW()-4))</f>
        <v>3.098591549295775</v>
      </c>
      <c r="H16" s="43">
        <f t="array" aca="1" ref="H16" ca="1">INDIRECT("'"&amp;$B$3&amp;"'!"&amp;CHAR(64+COLUMN())&amp;(ROW()-4))</f>
        <v>351.1</v>
      </c>
      <c r="I16" s="43">
        <f t="array" aca="1" ref="I16" ca="1">INDIRECT("'"&amp;$B$3&amp;"'!"&amp;CHAR(64+COLUMN())&amp;(ROW()-4))</f>
        <v>344.4</v>
      </c>
      <c r="J16" s="43">
        <f t="array" aca="1" ref="J16" ca="1">INDIRECT("'"&amp;$B$3&amp;"'!"&amp;CHAR(64+COLUMN())&amp;(ROW()-4))</f>
        <v>338.3</v>
      </c>
      <c r="K16" s="43">
        <f t="array" aca="1" ref="K16" ca="1">INDIRECT("'"&amp;$B$3&amp;"'!"&amp;CHAR(64+COLUMN())&amp;(ROW()-4))</f>
        <v>79.835944187143099</v>
      </c>
      <c r="L16" s="43">
        <f t="array" aca="1" ref="L16" ca="1">INDIRECT("'"&amp;$B$3&amp;"'!"&amp;CHAR(64+COLUMN())&amp;(ROW()-4))</f>
        <v>67.6982485197492</v>
      </c>
      <c r="M16" s="43">
        <f t="array" aca="1" ref="M16" ca="1">INDIRECT("'"&amp;$B$3&amp;"'!"&amp;CHAR(64+COLUMN())&amp;(ROW()-4))</f>
        <v>80.496482453861589</v>
      </c>
      <c r="N16" s="43">
        <f t="array" aca="1" ref="N16" ca="1">INDIRECT("'"&amp;$B$3&amp;"'!"&amp;CHAR(64+COLUMN())&amp;(ROW()-4))</f>
        <v>72.42544087537344</v>
      </c>
      <c r="O16" s="43">
        <f t="array" aca="1" ref="O16" ca="1">INDIRECT("'"&amp;$B$3&amp;"'!"&amp;CHAR(64+COLUMN())&amp;(ROW()-4))</f>
        <v>2.1782406312924461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376.5</v>
      </c>
      <c r="D17" s="43">
        <f t="array" aca="1" ref="D17" ca="1">INDIRECT("'"&amp;$B$3&amp;"'!"&amp;CHAR(64+COLUMN())&amp;(ROW()-4))</f>
        <v>363</v>
      </c>
      <c r="E17" s="43">
        <f t="array" aca="1" ref="E17" ca="1">INDIRECT("'"&amp;$B$3&amp;"'!"&amp;CHAR(64+COLUMN())&amp;(ROW()-4))</f>
        <v>363.5</v>
      </c>
      <c r="F17" s="43">
        <f t="array" aca="1" ref="F17" ca="1">INDIRECT("'"&amp;$B$3&amp;"'!"&amp;CHAR(64+COLUMN())&amp;(ROW()-4))</f>
        <v>3362</v>
      </c>
      <c r="G17" s="43">
        <f t="array" aca="1" ref="G17" ca="1">INDIRECT("'"&amp;$B$3&amp;"'!"&amp;CHAR(64+COLUMN())&amp;(ROW()-4))</f>
        <v>-0.68306010928961747</v>
      </c>
      <c r="H17" s="43">
        <f t="array" aca="1" ref="H17" ca="1">INDIRECT("'"&amp;$B$3&amp;"'!"&amp;CHAR(64+COLUMN())&amp;(ROW()-4))</f>
        <v>355.3</v>
      </c>
      <c r="I17" s="43">
        <f t="array" aca="1" ref="I17" ca="1">INDIRECT("'"&amp;$B$3&amp;"'!"&amp;CHAR(64+COLUMN())&amp;(ROW()-4))</f>
        <v>348.4</v>
      </c>
      <c r="J17" s="43">
        <f t="array" aca="1" ref="J17" ca="1">INDIRECT("'"&amp;$B$3&amp;"'!"&amp;CHAR(64+COLUMN())&amp;(ROW()-4))</f>
        <v>339.375</v>
      </c>
      <c r="K17" s="43">
        <f t="array" aca="1" ref="K17" ca="1">INDIRECT("'"&amp;$B$3&amp;"'!"&amp;CHAR(64+COLUMN())&amp;(ROW()-4))</f>
        <v>74.131159221889305</v>
      </c>
      <c r="L17" s="43">
        <f t="array" aca="1" ref="L17" ca="1">INDIRECT("'"&amp;$B$3&amp;"'!"&amp;CHAR(64+COLUMN())&amp;(ROW()-4))</f>
        <v>65.455868525646821</v>
      </c>
      <c r="M17" s="43">
        <f t="array" aca="1" ref="M17" ca="1">INDIRECT("'"&amp;$B$3&amp;"'!"&amp;CHAR(64+COLUMN())&amp;(ROW()-4))</f>
        <v>76.55588790096796</v>
      </c>
      <c r="N17" s="43">
        <f t="array" aca="1" ref="N17" ca="1">INDIRECT("'"&amp;$B$3&amp;"'!"&amp;CHAR(64+COLUMN())&amp;(ROW()-4))</f>
        <v>73.802256550571599</v>
      </c>
      <c r="O17" s="43">
        <f t="array" aca="1" ref="O17" ca="1">INDIRECT("'"&amp;$B$3&amp;"'!"&amp;CHAR(64+COLUMN())&amp;(ROW()-4))</f>
        <v>2.448016814593204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368</v>
      </c>
      <c r="D18" s="43">
        <f t="array" aca="1" ref="D18" ca="1">INDIRECT("'"&amp;$B$3&amp;"'!"&amp;CHAR(64+COLUMN())&amp;(ROW()-4))</f>
        <v>355.5</v>
      </c>
      <c r="E18" s="43">
        <f t="array" aca="1" ref="E18" ca="1">INDIRECT("'"&amp;$B$3&amp;"'!"&amp;CHAR(64+COLUMN())&amp;(ROW()-4))</f>
        <v>364.5</v>
      </c>
      <c r="F18" s="43">
        <f t="array" aca="1" ref="F18" ca="1">INDIRECT("'"&amp;$B$3&amp;"'!"&amp;CHAR(64+COLUMN())&amp;(ROW()-4))</f>
        <v>2497</v>
      </c>
      <c r="G18" s="43">
        <f t="array" aca="1" ref="G18" ca="1">INDIRECT("'"&amp;$B$3&amp;"'!"&amp;CHAR(64+COLUMN())&amp;(ROW()-4))</f>
        <v>0.27510316368638238</v>
      </c>
      <c r="H18" s="43">
        <f t="array" aca="1" ref="H18" ca="1">INDIRECT("'"&amp;$B$3&amp;"'!"&amp;CHAR(64+COLUMN())&amp;(ROW()-4))</f>
        <v>359.4</v>
      </c>
      <c r="I18" s="43">
        <f t="array" aca="1" ref="I18" ca="1">INDIRECT("'"&amp;$B$3&amp;"'!"&amp;CHAR(64+COLUMN())&amp;(ROW()-4))</f>
        <v>352.6</v>
      </c>
      <c r="J18" s="43">
        <f t="array" aca="1" ref="J18" ca="1">INDIRECT("'"&amp;$B$3&amp;"'!"&amp;CHAR(64+COLUMN())&amp;(ROW()-4))</f>
        <v>340.4</v>
      </c>
      <c r="K18" s="43">
        <f t="array" aca="1" ref="K18" ca="1">INDIRECT("'"&amp;$B$3&amp;"'!"&amp;CHAR(64+COLUMN())&amp;(ROW()-4))</f>
        <v>74.989012260057734</v>
      </c>
      <c r="L18" s="43">
        <f t="array" aca="1" ref="L18" ca="1">INDIRECT("'"&amp;$B$3&amp;"'!"&amp;CHAR(64+COLUMN())&amp;(ROW()-4))</f>
        <v>65.948046708518433</v>
      </c>
      <c r="M18" s="43">
        <f t="array" aca="1" ref="M18" ca="1">INDIRECT("'"&amp;$B$3&amp;"'!"&amp;CHAR(64+COLUMN())&amp;(ROW()-4))</f>
        <v>73.559781123167824</v>
      </c>
      <c r="N18" s="43">
        <f t="array" aca="1" ref="N18" ca="1">INDIRECT("'"&amp;$B$3&amp;"'!"&amp;CHAR(64+COLUMN())&amp;(ROW()-4))</f>
        <v>73.721431408103669</v>
      </c>
      <c r="O18" s="43">
        <f t="array" aca="1" ref="O18" ca="1">INDIRECT("'"&amp;$B$3&amp;"'!"&amp;CHAR(64+COLUMN())&amp;(ROW()-4))</f>
        <v>2.502387029943669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366</v>
      </c>
      <c r="D19" s="43">
        <f t="array" aca="1" ref="D19" ca="1">INDIRECT("'"&amp;$B$3&amp;"'!"&amp;CHAR(64+COLUMN())&amp;(ROW()-4))</f>
        <v>361</v>
      </c>
      <c r="E19" s="43">
        <f t="array" aca="1" ref="E19" ca="1">INDIRECT("'"&amp;$B$3&amp;"'!"&amp;CHAR(64+COLUMN())&amp;(ROW()-4))</f>
        <v>361</v>
      </c>
      <c r="F19" s="43">
        <f t="array" aca="1" ref="F19" ca="1">INDIRECT("'"&amp;$B$3&amp;"'!"&amp;CHAR(64+COLUMN())&amp;(ROW()-4))</f>
        <v>2504</v>
      </c>
      <c r="G19" s="43">
        <f t="array" aca="1" ref="G19" ca="1">INDIRECT("'"&amp;$B$3&amp;"'!"&amp;CHAR(64+COLUMN())&amp;(ROW()-4))</f>
        <v>-0.96021947873799729</v>
      </c>
      <c r="H19" s="43">
        <f t="array" aca="1" ref="H19" ca="1">INDIRECT("'"&amp;$B$3&amp;"'!"&amp;CHAR(64+COLUMN())&amp;(ROW()-4))</f>
        <v>362</v>
      </c>
      <c r="I19" s="43">
        <f t="array" aca="1" ref="I19" ca="1">INDIRECT("'"&amp;$B$3&amp;"'!"&amp;CHAR(64+COLUMN())&amp;(ROW()-4))</f>
        <v>353.85</v>
      </c>
      <c r="J19" s="43">
        <f t="array" aca="1" ref="J19" ca="1">INDIRECT("'"&amp;$B$3&amp;"'!"&amp;CHAR(64+COLUMN())&amp;(ROW()-4))</f>
        <v>341.95</v>
      </c>
      <c r="K19" s="43">
        <f t="array" aca="1" ref="K19" ca="1">INDIRECT("'"&amp;$B$3&amp;"'!"&amp;CHAR(64+COLUMN())&amp;(ROW()-4))</f>
        <v>65.821472354246765</v>
      </c>
      <c r="L19" s="43">
        <f t="array" aca="1" ref="L19" ca="1">INDIRECT("'"&amp;$B$3&amp;"'!"&amp;CHAR(64+COLUMN())&amp;(ROW()-4))</f>
        <v>62.545524826147727</v>
      </c>
      <c r="M19" s="43">
        <f t="array" aca="1" ref="M19" ca="1">INDIRECT("'"&amp;$B$3&amp;"'!"&amp;CHAR(64+COLUMN())&amp;(ROW()-4))</f>
        <v>68.409223451481239</v>
      </c>
      <c r="N19" s="43">
        <f t="array" aca="1" ref="N19" ca="1">INDIRECT("'"&amp;$B$3&amp;"'!"&amp;CHAR(64+COLUMN())&amp;(ROW()-4))</f>
        <v>71.950695422562859</v>
      </c>
      <c r="O19" s="43">
        <f t="array" aca="1" ref="O19" ca="1">INDIRECT("'"&amp;$B$3&amp;"'!"&amp;CHAR(64+COLUMN())&amp;(ROW()-4))</f>
        <v>2.1260118477571548</v>
      </c>
      <c r="Q19" s="78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370</v>
      </c>
      <c r="D20" s="43">
        <f t="array" aca="1" ref="D20" ca="1">INDIRECT("'"&amp;$B$3&amp;"'!"&amp;CHAR(64+COLUMN())&amp;(ROW()-4))</f>
        <v>348</v>
      </c>
      <c r="E20" s="43">
        <f t="array" aca="1" ref="E20" ca="1">INDIRECT("'"&amp;$B$3&amp;"'!"&amp;CHAR(64+COLUMN())&amp;(ROW()-4))</f>
        <v>356.5</v>
      </c>
      <c r="F20" s="43">
        <f t="array" aca="1" ref="F20" ca="1">INDIRECT("'"&amp;$B$3&amp;"'!"&amp;CHAR(64+COLUMN())&amp;(ROW()-4))</f>
        <v>2674</v>
      </c>
      <c r="G20" s="43">
        <f t="array" aca="1" ref="G20" ca="1">INDIRECT("'"&amp;$B$3&amp;"'!"&amp;CHAR(64+COLUMN())&amp;(ROW()-4))</f>
        <v>-1.246537396121884</v>
      </c>
      <c r="H20" s="43">
        <f t="array" aca="1" ref="H20" ca="1">INDIRECT("'"&amp;$B$3&amp;"'!"&amp;CHAR(64+COLUMN())&amp;(ROW()-4))</f>
        <v>362.3</v>
      </c>
      <c r="I20" s="43">
        <f t="array" aca="1" ref="I20" ca="1">INDIRECT("'"&amp;$B$3&amp;"'!"&amp;CHAR(64+COLUMN())&amp;(ROW()-4))</f>
        <v>354.7</v>
      </c>
      <c r="J20" s="43">
        <f t="array" aca="1" ref="J20" ca="1">INDIRECT("'"&amp;$B$3&amp;"'!"&amp;CHAR(64+COLUMN())&amp;(ROW()-4))</f>
        <v>343.27499999999998</v>
      </c>
      <c r="K20" s="43">
        <f t="array" aca="1" ref="K20" ca="1">INDIRECT("'"&amp;$B$3&amp;"'!"&amp;CHAR(64+COLUMN())&amp;(ROW()-4))</f>
        <v>55.376518214603323</v>
      </c>
      <c r="L20" s="43">
        <f t="array" aca="1" ref="L20" ca="1">INDIRECT("'"&amp;$B$3&amp;"'!"&amp;CHAR(64+COLUMN())&amp;(ROW()-4))</f>
        <v>58.32481595262702</v>
      </c>
      <c r="M20" s="43">
        <f t="array" aca="1" ref="M20" ca="1">INDIRECT("'"&amp;$B$3&amp;"'!"&amp;CHAR(64+COLUMN())&amp;(ROW()-4))</f>
        <v>60.921464282969467</v>
      </c>
      <c r="N20" s="43">
        <f t="array" aca="1" ref="N20" ca="1">INDIRECT("'"&amp;$B$3&amp;"'!"&amp;CHAR(64+COLUMN())&amp;(ROW()-4))</f>
        <v>68.274285042698395</v>
      </c>
      <c r="O20" s="43">
        <f t="array" aca="1" ref="O20" ca="1">INDIRECT("'"&amp;$B$3&amp;"'!"&amp;CHAR(64+COLUMN())&amp;(ROW()-4))</f>
        <v>1.430720729433665</v>
      </c>
      <c r="Q20" s="50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358</v>
      </c>
      <c r="D21" s="43">
        <f t="array" aca="1" ref="D21" ca="1">INDIRECT("'"&amp;$B$3&amp;"'!"&amp;CHAR(64+COLUMN())&amp;(ROW()-4))</f>
        <v>349</v>
      </c>
      <c r="E21" s="43">
        <f t="array" aca="1" ref="E21" ca="1">INDIRECT("'"&amp;$B$3&amp;"'!"&amp;CHAR(64+COLUMN())&amp;(ROW()-4))</f>
        <v>354</v>
      </c>
      <c r="F21" s="43">
        <f t="array" aca="1" ref="F21" ca="1">INDIRECT("'"&amp;$B$3&amp;"'!"&amp;CHAR(64+COLUMN())&amp;(ROW()-4))</f>
        <v>1858</v>
      </c>
      <c r="G21" s="43">
        <f t="array" aca="1" ref="G21" ca="1">INDIRECT("'"&amp;$B$3&amp;"'!"&amp;CHAR(64+COLUMN())&amp;(ROW()-4))</f>
        <v>-0.70126227208976155</v>
      </c>
      <c r="H21" s="43">
        <f t="array" aca="1" ref="H21" ca="1">INDIRECT("'"&amp;$B$3&amp;"'!"&amp;CHAR(64+COLUMN())&amp;(ROW()-4))</f>
        <v>359.9</v>
      </c>
      <c r="I21" s="43">
        <f t="array" aca="1" ref="I21" ca="1">INDIRECT("'"&amp;$B$3&amp;"'!"&amp;CHAR(64+COLUMN())&amp;(ROW()-4))</f>
        <v>355.5</v>
      </c>
      <c r="J21" s="43">
        <f t="array" aca="1" ref="J21" ca="1">INDIRECT("'"&amp;$B$3&amp;"'!"&amp;CHAR(64+COLUMN())&amp;(ROW()-4))</f>
        <v>344.3</v>
      </c>
      <c r="K21" s="43">
        <f t="array" aca="1" ref="K21" ca="1">INDIRECT("'"&amp;$B$3&amp;"'!"&amp;CHAR(64+COLUMN())&amp;(ROW()-4))</f>
        <v>50.078659404079147</v>
      </c>
      <c r="L21" s="43">
        <f t="array" aca="1" ref="L21" ca="1">INDIRECT("'"&amp;$B$3&amp;"'!"&amp;CHAR(64+COLUMN())&amp;(ROW()-4))</f>
        <v>56.033155386698347</v>
      </c>
      <c r="M21" s="43">
        <f t="array" aca="1" ref="M21" ca="1">INDIRECT("'"&amp;$B$3&amp;"'!"&amp;CHAR(64+COLUMN())&amp;(ROW()-4))</f>
        <v>51.888819325901217</v>
      </c>
      <c r="N21" s="43">
        <f t="array" aca="1" ref="N21" ca="1">INDIRECT("'"&amp;$B$3&amp;"'!"&amp;CHAR(64+COLUMN())&amp;(ROW()-4))</f>
        <v>62.812463137099328</v>
      </c>
      <c r="O21" s="43">
        <f t="array" aca="1" ref="O21" ca="1">INDIRECT("'"&amp;$B$3&amp;"'!"&amp;CHAR(64+COLUMN())&amp;(ROW()-4))</f>
        <v>0.69636201579226498</v>
      </c>
      <c r="Q21" s="79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367</v>
      </c>
      <c r="D22" s="43">
        <f t="array" aca="1" ref="D22" ca="1">INDIRECT("'"&amp;$B$3&amp;"'!"&amp;CHAR(64+COLUMN())&amp;(ROW()-4))</f>
        <v>356.5</v>
      </c>
      <c r="E22" s="43">
        <f t="array" aca="1" ref="E22" ca="1">INDIRECT("'"&amp;$B$3&amp;"'!"&amp;CHAR(64+COLUMN())&amp;(ROW()-4))</f>
        <v>363</v>
      </c>
      <c r="F22" s="43">
        <f t="array" aca="1" ref="F22" ca="1">INDIRECT("'"&amp;$B$3&amp;"'!"&amp;CHAR(64+COLUMN())&amp;(ROW()-4))</f>
        <v>3812</v>
      </c>
      <c r="G22" s="43">
        <f t="array" aca="1" ref="G22" ca="1">INDIRECT("'"&amp;$B$3&amp;"'!"&amp;CHAR(64+COLUMN())&amp;(ROW()-4))</f>
        <v>2.542372881355933</v>
      </c>
      <c r="H22" s="43">
        <f t="array" aca="1" ref="H22" ca="1">INDIRECT("'"&amp;$B$3&amp;"'!"&amp;CHAR(64+COLUMN())&amp;(ROW()-4))</f>
        <v>359.8</v>
      </c>
      <c r="I22" s="43">
        <f t="array" aca="1" ref="I22" ca="1">INDIRECT("'"&amp;$B$3&amp;"'!"&amp;CHAR(64+COLUMN())&amp;(ROW()-4))</f>
        <v>357.55</v>
      </c>
      <c r="J22" s="43">
        <f t="array" aca="1" ref="J22" ca="1">INDIRECT("'"&amp;$B$3&amp;"'!"&amp;CHAR(64+COLUMN())&amp;(ROW()-4))</f>
        <v>345.5</v>
      </c>
      <c r="K22" s="43">
        <f t="array" aca="1" ref="K22" ca="1">INDIRECT("'"&amp;$B$3&amp;"'!"&amp;CHAR(64+COLUMN())&amp;(ROW()-4))</f>
        <v>64.677298971773482</v>
      </c>
      <c r="L22" s="43">
        <f t="array" aca="1" ref="L22" ca="1">INDIRECT("'"&amp;$B$3&amp;"'!"&amp;CHAR(64+COLUMN())&amp;(ROW()-4))</f>
        <v>61.910641768617879</v>
      </c>
      <c r="M22" s="43">
        <f t="array" aca="1" ref="M22" ca="1">INDIRECT("'"&amp;$B$3&amp;"'!"&amp;CHAR(64+COLUMN())&amp;(ROW()-4))</f>
        <v>53.409750518342747</v>
      </c>
      <c r="N22" s="43">
        <f t="array" aca="1" ref="N22" ca="1">INDIRECT("'"&amp;$B$3&amp;"'!"&amp;CHAR(64+COLUMN())&amp;(ROW()-4))</f>
        <v>59.678225597513787</v>
      </c>
      <c r="O22" s="43">
        <f t="array" aca="1" ref="O22" ca="1">INDIRECT("'"&amp;$B$3&amp;"'!"&amp;CHAR(64+COLUMN())&amp;(ROW()-4))</f>
        <v>0.70832877151974838</v>
      </c>
      <c r="Q22" s="50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376</v>
      </c>
      <c r="D23" s="43">
        <f t="array" aca="1" ref="D23" ca="1">INDIRECT("'"&amp;$B$3&amp;"'!"&amp;CHAR(64+COLUMN())&amp;(ROW()-4))</f>
        <v>364.5</v>
      </c>
      <c r="E23" s="43">
        <f t="array" aca="1" ref="E23" ca="1">INDIRECT("'"&amp;$B$3&amp;"'!"&amp;CHAR(64+COLUMN())&amp;(ROW()-4))</f>
        <v>367</v>
      </c>
      <c r="F23" s="43">
        <f t="array" aca="1" ref="F23" ca="1">INDIRECT("'"&amp;$B$3&amp;"'!"&amp;CHAR(64+COLUMN())&amp;(ROW()-4))</f>
        <v>3617</v>
      </c>
      <c r="G23" s="43">
        <f t="array" aca="1" ref="G23" ca="1">INDIRECT("'"&amp;$B$3&amp;"'!"&amp;CHAR(64+COLUMN())&amp;(ROW()-4))</f>
        <v>1.101928374655647</v>
      </c>
      <c r="H23" s="43">
        <f t="array" aca="1" ref="H23" ca="1">INDIRECT("'"&amp;$B$3&amp;"'!"&amp;CHAR(64+COLUMN())&amp;(ROW()-4))</f>
        <v>360.3</v>
      </c>
      <c r="I23" s="43">
        <f t="array" aca="1" ref="I23" ca="1">INDIRECT("'"&amp;$B$3&amp;"'!"&amp;CHAR(64+COLUMN())&amp;(ROW()-4))</f>
        <v>359.85</v>
      </c>
      <c r="J23" s="43">
        <f t="array" aca="1" ref="J23" ca="1">INDIRECT("'"&amp;$B$3&amp;"'!"&amp;CHAR(64+COLUMN())&amp;(ROW()-4))</f>
        <v>347.22500000000002</v>
      </c>
      <c r="K23" s="43">
        <f t="array" aca="1" ref="K23" ca="1">INDIRECT("'"&amp;$B$3&amp;"'!"&amp;CHAR(64+COLUMN())&amp;(ROW()-4))</f>
        <v>69.443083491524533</v>
      </c>
      <c r="L23" s="43">
        <f t="array" aca="1" ref="L23" ca="1">INDIRECT("'"&amp;$B$3&amp;"'!"&amp;CHAR(64+COLUMN())&amp;(ROW()-4))</f>
        <v>64.229114873954273</v>
      </c>
      <c r="M23" s="43">
        <f t="array" aca="1" ref="M23" ca="1">INDIRECT("'"&amp;$B$3&amp;"'!"&amp;CHAR(64+COLUMN())&amp;(ROW()-4))</f>
        <v>57.828722567784041</v>
      </c>
      <c r="N23" s="43">
        <f t="array" aca="1" ref="N23" ca="1">INDIRECT("'"&amp;$B$3&amp;"'!"&amp;CHAR(64+COLUMN())&amp;(ROW()-4))</f>
        <v>59.061724587603877</v>
      </c>
      <c r="O23" s="43">
        <f t="array" aca="1" ref="O23" ca="1">INDIRECT("'"&amp;$B$3&amp;"'!"&amp;CHAR(64+COLUMN())&amp;(ROW()-4))</f>
        <v>0.86674781197239259</v>
      </c>
      <c r="Q23" s="80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371</v>
      </c>
      <c r="D24" s="43">
        <f t="array" aca="1" ref="D24" ca="1">INDIRECT("'"&amp;$B$3&amp;"'!"&amp;CHAR(64+COLUMN())&amp;(ROW()-4))</f>
        <v>363</v>
      </c>
      <c r="E24" s="43">
        <f t="array" aca="1" ref="E24" ca="1">INDIRECT("'"&amp;$B$3&amp;"'!"&amp;CHAR(64+COLUMN())&amp;(ROW()-4))</f>
        <v>366</v>
      </c>
      <c r="F24" s="43">
        <f t="array" aca="1" ref="F24" ca="1">INDIRECT("'"&amp;$B$3&amp;"'!"&amp;CHAR(64+COLUMN())&amp;(ROW()-4))</f>
        <v>2157</v>
      </c>
      <c r="G24" s="43">
        <f t="array" aca="1" ref="G24" ca="1">INDIRECT("'"&amp;$B$3&amp;"'!"&amp;CHAR(64+COLUMN())&amp;(ROW()-4))</f>
        <v>-0.27247956403269752</v>
      </c>
      <c r="H24" s="43">
        <f t="array" aca="1" ref="H24" ca="1">INDIRECT("'"&amp;$B$3&amp;"'!"&amp;CHAR(64+COLUMN())&amp;(ROW()-4))</f>
        <v>361.3</v>
      </c>
      <c r="I24" s="43">
        <f t="array" aca="1" ref="I24" ca="1">INDIRECT("'"&amp;$B$3&amp;"'!"&amp;CHAR(64+COLUMN())&amp;(ROW()-4))</f>
        <v>361.65</v>
      </c>
      <c r="J24" s="43">
        <f t="array" aca="1" ref="J24" ca="1">INDIRECT("'"&amp;$B$3&amp;"'!"&amp;CHAR(64+COLUMN())&amp;(ROW()-4))</f>
        <v>349.45</v>
      </c>
      <c r="K24" s="43">
        <f t="array" aca="1" ref="K24" ca="1">INDIRECT("'"&amp;$B$3&amp;"'!"&amp;CHAR(64+COLUMN())&amp;(ROW()-4))</f>
        <v>66.741623630345941</v>
      </c>
      <c r="L24" s="43">
        <f t="array" aca="1" ref="L24" ca="1">INDIRECT("'"&amp;$B$3&amp;"'!"&amp;CHAR(64+COLUMN())&amp;(ROW()-4))</f>
        <v>63.180276665557081</v>
      </c>
      <c r="M24" s="43">
        <f t="array" aca="1" ref="M24" ca="1">INDIRECT("'"&amp;$B$3&amp;"'!"&amp;CHAR(64+COLUMN())&amp;(ROW()-4))</f>
        <v>59.605113290803388</v>
      </c>
      <c r="N24" s="43">
        <f t="array" aca="1" ref="N24" ca="1">INDIRECT("'"&amp;$B$3&amp;"'!"&amp;CHAR(64+COLUMN())&amp;(ROW()-4))</f>
        <v>59.242854155337042</v>
      </c>
      <c r="O24" s="43">
        <f t="array" aca="1" ref="O24" ca="1">INDIRECT("'"&amp;$B$3&amp;"'!"&amp;CHAR(64+COLUMN())&amp;(ROW()-4))</f>
        <v>0.7875919066861039</v>
      </c>
      <c r="Q24" s="81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369.5</v>
      </c>
      <c r="D25" s="43">
        <f t="array" aca="1" ref="D25" ca="1">INDIRECT("'"&amp;$B$3&amp;"'!"&amp;CHAR(64+COLUMN())&amp;(ROW()-4))</f>
        <v>357.5</v>
      </c>
      <c r="E25" s="43">
        <f t="array" aca="1" ref="E25" ca="1">INDIRECT("'"&amp;$B$3&amp;"'!"&amp;CHAR(64+COLUMN())&amp;(ROW()-4))</f>
        <v>359.5</v>
      </c>
      <c r="F25" s="43">
        <f t="array" aca="1" ref="F25" ca="1">INDIRECT("'"&amp;$B$3&amp;"'!"&amp;CHAR(64+COLUMN())&amp;(ROW()-4))</f>
        <v>3072</v>
      </c>
      <c r="G25" s="43">
        <f t="array" aca="1" ref="G25" ca="1">INDIRECT("'"&amp;$B$3&amp;"'!"&amp;CHAR(64+COLUMN())&amp;(ROW()-4))</f>
        <v>-1.775956284153005</v>
      </c>
      <c r="H25" s="43">
        <f t="array" aca="1" ref="H25" ca="1">INDIRECT("'"&amp;$B$3&amp;"'!"&amp;CHAR(64+COLUMN())&amp;(ROW()-4))</f>
        <v>361.9</v>
      </c>
      <c r="I25" s="43">
        <f t="array" aca="1" ref="I25" ca="1">INDIRECT("'"&amp;$B$3&amp;"'!"&amp;CHAR(64+COLUMN())&amp;(ROW()-4))</f>
        <v>362.1</v>
      </c>
      <c r="J25" s="43">
        <f t="array" aca="1" ref="J25" ca="1">INDIRECT("'"&amp;$B$3&amp;"'!"&amp;CHAR(64+COLUMN())&amp;(ROW()-4))</f>
        <v>351.5</v>
      </c>
      <c r="K25" s="43">
        <f t="array" aca="1" ref="K25" ca="1">INDIRECT("'"&amp;$B$3&amp;"'!"&amp;CHAR(64+COLUMN())&amp;(ROW()-4))</f>
        <v>51.204455168260438</v>
      </c>
      <c r="L25" s="43">
        <f t="array" aca="1" ref="L25" ca="1">INDIRECT("'"&amp;$B$3&amp;"'!"&amp;CHAR(64+COLUMN())&amp;(ROW()-4))</f>
        <v>56.623705669465231</v>
      </c>
      <c r="M25" s="43">
        <f t="array" aca="1" ref="M25" ca="1">INDIRECT("'"&amp;$B$3&amp;"'!"&amp;CHAR(64+COLUMN())&amp;(ROW()-4))</f>
        <v>53.187034591529738</v>
      </c>
      <c r="N25" s="43">
        <f t="array" aca="1" ref="N25" ca="1">INDIRECT("'"&amp;$B$3&amp;"'!"&amp;CHAR(64+COLUMN())&amp;(ROW()-4))</f>
        <v>57.224247634067943</v>
      </c>
      <c r="O25" s="43">
        <f t="array" aca="1" ref="O25" ca="1">INDIRECT("'"&amp;$B$3&amp;"'!"&amp;CHAR(64+COLUMN())&amp;(ROW()-4))</f>
        <v>0.21088587909026749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目前燈號為「🟡 等待」，建議等待、不推薦進出場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351.1</v>
      </c>
      <c r="S27" s="69">
        <f ca="1">ROUND((E25*(1-N32)-E25)/E25,4)</f>
        <v>-2.3199999999999998E-2</v>
      </c>
      <c r="T27" s="70" t="str">
        <f ca="1">"再跌 "&amp;TEXT(ABS((E25*(1-N32)-E25)/E25),"0.0%")&amp;" 至 "&amp;TEXT(E25*(1-N32),"0.0")&amp;" 進入積極買進區"</f>
        <v>再跌 2.3% 至 351.1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376.5</v>
      </c>
      <c r="Q28" s="71" t="s">
        <v>129</v>
      </c>
      <c r="R28" s="72">
        <f ca="1">ROUND(MAX(H25,E25*(1+N32)),1)</f>
        <v>367.9</v>
      </c>
      <c r="S28" s="73">
        <f ca="1">ROUND((MAX(H25,E25*(1+N32))-E25)/E25,4)</f>
        <v>2.3199999999999998E-2</v>
      </c>
      <c r="T28" s="74" t="str">
        <f ca="1">"再漲 "&amp;TEXT(ABS((MAX(H25,E25*(1+N32))-E25)/E25),"0.0%")&amp;" 至 "&amp;TEXT(MAX(H25,E25*(1+N32)),"0.0")&amp;" 進入反彈賣出區"</f>
        <v>再漲 2.3% 至 367.9 進入反彈賣出區</v>
      </c>
    </row>
    <row r="29" spans="1:20" x14ac:dyDescent="0.2">
      <c r="A29" s="1" t="s">
        <v>130</v>
      </c>
      <c r="B29" s="8">
        <v>3.17</v>
      </c>
      <c r="C29" s="8">
        <v>2.2999999999999998</v>
      </c>
      <c r="D29" s="8">
        <v>3.2</v>
      </c>
      <c r="E29" s="8">
        <v>3.59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317</v>
      </c>
    </row>
    <row r="30" spans="1:20" ht="16" customHeight="1" x14ac:dyDescent="0.2">
      <c r="A30" s="1" t="s">
        <v>132</v>
      </c>
      <c r="B30" s="107">
        <v>12.26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351.5</v>
      </c>
    </row>
    <row r="31" spans="1:20" x14ac:dyDescent="0.2">
      <c r="A31" s="9" t="s">
        <v>134</v>
      </c>
      <c r="B31" t="s">
        <v>95</v>
      </c>
      <c r="C31" s="10">
        <v>-0.27444794952681389</v>
      </c>
      <c r="D31" s="11">
        <v>0.39130434782608708</v>
      </c>
      <c r="E31" s="11">
        <v>0.1218749999999999</v>
      </c>
      <c r="G31" s="9" t="s">
        <v>134</v>
      </c>
      <c r="H31" t="s">
        <v>95</v>
      </c>
      <c r="I31" s="10"/>
      <c r="J31" s="11"/>
      <c r="K31" s="10"/>
      <c r="M31" s="1" t="s">
        <v>158</v>
      </c>
      <c r="N31" s="6">
        <f ca="1">(E25-E6)/E6</f>
        <v>8.6102719033232633E-2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2.3235445989985493E-2</v>
      </c>
    </row>
    <row r="33" spans="1:14" ht="17" customHeight="1" x14ac:dyDescent="0.2">
      <c r="A33" s="108" t="s">
        <v>159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359.5</v>
      </c>
    </row>
    <row r="34" spans="1:14" x14ac:dyDescent="0.2">
      <c r="A34" t="s">
        <v>141</v>
      </c>
      <c r="B34" s="26">
        <v>8.39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59.13</v>
      </c>
      <c r="G35" t="s">
        <v>146</v>
      </c>
      <c r="H35" s="27">
        <f>B36*B30</f>
        <v>220.68</v>
      </c>
      <c r="I35" s="27">
        <f>C36*B30</f>
        <v>306.5</v>
      </c>
      <c r="J35" s="27">
        <f>D36*B30</f>
        <v>429.09999999999997</v>
      </c>
    </row>
    <row r="36" spans="1:14" ht="17" customHeight="1" x14ac:dyDescent="0.2">
      <c r="A36" t="s">
        <v>147</v>
      </c>
      <c r="B36" s="26">
        <v>18</v>
      </c>
      <c r="C36" s="26">
        <v>25</v>
      </c>
      <c r="D36" s="26">
        <v>35</v>
      </c>
      <c r="G36" t="s">
        <v>148</v>
      </c>
      <c r="H36" s="27">
        <f>B37*B35</f>
        <v>177.39000000000001</v>
      </c>
      <c r="I36" s="27">
        <f>C37*B35</f>
        <v>266.08500000000004</v>
      </c>
      <c r="J36" s="27">
        <f>D37*B35</f>
        <v>384.34500000000003</v>
      </c>
    </row>
    <row r="37" spans="1:14" ht="17" customHeight="1" x14ac:dyDescent="0.2">
      <c r="A37" t="s">
        <v>149</v>
      </c>
      <c r="B37" s="26">
        <v>3</v>
      </c>
      <c r="C37" s="26">
        <v>4.5</v>
      </c>
      <c r="D37" s="26">
        <v>6.5</v>
      </c>
      <c r="G37" t="s">
        <v>150</v>
      </c>
      <c r="H37" s="27">
        <f>B34/B38</f>
        <v>167.8</v>
      </c>
      <c r="I37" s="27">
        <f>B34/C38</f>
        <v>239.71428571428569</v>
      </c>
      <c r="J37" s="27">
        <f>B34/D38</f>
        <v>335.6</v>
      </c>
    </row>
    <row r="38" spans="1:14" ht="17" customHeight="1" x14ac:dyDescent="0.25">
      <c r="A38" s="40" t="s">
        <v>151</v>
      </c>
      <c r="B38" s="37">
        <v>0.05</v>
      </c>
      <c r="C38" s="37">
        <v>3.5000000000000003E-2</v>
      </c>
      <c r="D38" s="37">
        <v>2.5000000000000001E-2</v>
      </c>
      <c r="G38" s="29" t="s">
        <v>152</v>
      </c>
      <c r="H38" s="38">
        <f>AVERAGE(H35,H36,H37)</f>
        <v>188.62333333333336</v>
      </c>
      <c r="I38" s="38">
        <f>AVERAGE(I35,I36,I37)</f>
        <v>270.76642857142855</v>
      </c>
      <c r="J38" s="39">
        <f>AVERAGE(J35,J36,J37)</f>
        <v>383.01500000000004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21" priority="1" operator="lessThan">
      <formula>0</formula>
    </cfRule>
  </conditionalFormatting>
  <conditionalFormatting sqref="O6:O25">
    <cfRule type="cellIs" dxfId="20" priority="2" operator="lessThan">
      <formula>0</formula>
    </cfRule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"/>
  <sheetViews>
    <sheetView workbookViewId="0">
      <pane ySplit="5" topLeftCell="A6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3" bestFit="1" customWidth="1"/>
    <col min="3" max="3" width="8.33203125" bestFit="1" customWidth="1"/>
    <col min="4" max="5" width="7.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160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161</v>
      </c>
    </row>
    <row r="3" spans="1:20" x14ac:dyDescent="0.2">
      <c r="A3" s="1" t="s">
        <v>2</v>
      </c>
      <c r="B3" s="2">
        <v>3231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127.5</v>
      </c>
      <c r="D6" s="43">
        <f t="array" aca="1" ref="D6" ca="1">INDIRECT("'"&amp;$B$3&amp;"'!"&amp;CHAR(64+COLUMN())&amp;(ROW()-4))</f>
        <v>125</v>
      </c>
      <c r="E6" s="43">
        <f t="array" aca="1" ref="E6" ca="1">INDIRECT("'"&amp;$B$3&amp;"'!"&amp;CHAR(64+COLUMN())&amp;(ROW()-4))</f>
        <v>127</v>
      </c>
      <c r="F6" s="43">
        <f t="array" aca="1" ref="F6" ca="1">INDIRECT("'"&amp;$B$3&amp;"'!"&amp;CHAR(64+COLUMN())&amp;(ROW()-4))</f>
        <v>21099</v>
      </c>
      <c r="G6" s="43">
        <f t="array" aca="1" ref="G6" ca="1">INDIRECT("'"&amp;$B$3&amp;"'!"&amp;CHAR(64+COLUMN())&amp;(ROW()-4))</f>
        <v>3.673469387755103</v>
      </c>
      <c r="H6" s="43">
        <f t="array" aca="1" ref="H6" ca="1">INDIRECT("'"&amp;$B$3&amp;"'!"&amp;CHAR(64+COLUMN())&amp;(ROW()-4))</f>
        <v>125.8</v>
      </c>
      <c r="I6" s="43">
        <f t="array" aca="1" ref="I6" ca="1">INDIRECT("'"&amp;$B$3&amp;"'!"&amp;CHAR(64+COLUMN())&amp;(ROW()-4))</f>
        <v>126.9</v>
      </c>
      <c r="J6" s="43">
        <f t="array" aca="1" ref="J6" ca="1">INDIRECT("'"&amp;$B$3&amp;"'!"&amp;CHAR(64+COLUMN())&amp;(ROW()-4))</f>
        <v>129.17500000000001</v>
      </c>
      <c r="K6" s="43">
        <f t="array" aca="1" ref="K6" ca="1">INDIRECT("'"&amp;$B$3&amp;"'!"&amp;CHAR(64+COLUMN())&amp;(ROW()-4))</f>
        <v>48.940591048647818</v>
      </c>
      <c r="L6" s="43">
        <f t="array" aca="1" ref="L6" ca="1">INDIRECT("'"&amp;$B$3&amp;"'!"&amp;CHAR(64+COLUMN())&amp;(ROW()-4))</f>
        <v>46.016459668480188</v>
      </c>
      <c r="M6" s="43">
        <f t="array" aca="1" ref="M6" ca="1">INDIRECT("'"&amp;$B$3&amp;"'!"&amp;CHAR(64+COLUMN())&amp;(ROW()-4))</f>
        <v>22.100241483258529</v>
      </c>
      <c r="N6" s="43">
        <f t="array" aca="1" ref="N6" ca="1">INDIRECT("'"&amp;$B$3&amp;"'!"&amp;CHAR(64+COLUMN())&amp;(ROW()-4))</f>
        <v>21.73395852389605</v>
      </c>
      <c r="O6" s="43">
        <f t="array" aca="1" ref="O6" ca="1">INDIRECT("'"&amp;$B$3&amp;"'!"&amp;CHAR(64+COLUMN())&amp;(ROW()-4))</f>
        <v>-0.30303342616812651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128</v>
      </c>
      <c r="D7" s="43">
        <f t="array" aca="1" ref="D7" ca="1">INDIRECT("'"&amp;$B$3&amp;"'!"&amp;CHAR(64+COLUMN())&amp;(ROW()-4))</f>
        <v>124</v>
      </c>
      <c r="E7" s="43">
        <f t="array" aca="1" ref="E7" ca="1">INDIRECT("'"&amp;$B$3&amp;"'!"&amp;CHAR(64+COLUMN())&amp;(ROW()-4))</f>
        <v>125</v>
      </c>
      <c r="F7" s="43">
        <f t="array" aca="1" ref="F7" ca="1">INDIRECT("'"&amp;$B$3&amp;"'!"&amp;CHAR(64+COLUMN())&amp;(ROW()-4))</f>
        <v>15663</v>
      </c>
      <c r="G7" s="43">
        <f t="array" aca="1" ref="G7" ca="1">INDIRECT("'"&amp;$B$3&amp;"'!"&amp;CHAR(64+COLUMN())&amp;(ROW()-4))</f>
        <v>-1.5748031496062991</v>
      </c>
      <c r="H7" s="43">
        <f t="array" aca="1" ref="H7" ca="1">INDIRECT("'"&amp;$B$3&amp;"'!"&amp;CHAR(64+COLUMN())&amp;(ROW()-4))</f>
        <v>125.4</v>
      </c>
      <c r="I7" s="43">
        <f t="array" aca="1" ref="I7" ca="1">INDIRECT("'"&amp;$B$3&amp;"'!"&amp;CHAR(64+COLUMN())&amp;(ROW()-4))</f>
        <v>126.65</v>
      </c>
      <c r="J7" s="43">
        <f t="array" aca="1" ref="J7" ca="1">INDIRECT("'"&amp;$B$3&amp;"'!"&amp;CHAR(64+COLUMN())&amp;(ROW()-4))</f>
        <v>129</v>
      </c>
      <c r="K7" s="43">
        <f t="array" aca="1" ref="K7" ca="1">INDIRECT("'"&amp;$B$3&amp;"'!"&amp;CHAR(64+COLUMN())&amp;(ROW()-4))</f>
        <v>42.053655794173771</v>
      </c>
      <c r="L7" s="43">
        <f t="array" aca="1" ref="L7" ca="1">INDIRECT("'"&amp;$B$3&amp;"'!"&amp;CHAR(64+COLUMN())&amp;(ROW()-4))</f>
        <v>42.744945531449993</v>
      </c>
      <c r="M7" s="43">
        <f t="array" aca="1" ref="M7" ca="1">INDIRECT("'"&amp;$B$3&amp;"'!"&amp;CHAR(64+COLUMN())&amp;(ROW()-4))</f>
        <v>23.505424146733748</v>
      </c>
      <c r="N7" s="43">
        <f t="array" aca="1" ref="N7" ca="1">INDIRECT("'"&amp;$B$3&amp;"'!"&amp;CHAR(64+COLUMN())&amp;(ROW()-4))</f>
        <v>22.324447064841952</v>
      </c>
      <c r="O7" s="43">
        <f t="array" aca="1" ref="O7" ca="1">INDIRECT("'"&amp;$B$3&amp;"'!"&amp;CHAR(64+COLUMN())&amp;(ROW()-4))</f>
        <v>-0.27661140939614959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125</v>
      </c>
      <c r="D8" s="43">
        <f t="array" aca="1" ref="D8" ca="1">INDIRECT("'"&amp;$B$3&amp;"'!"&amp;CHAR(64+COLUMN())&amp;(ROW()-4))</f>
        <v>123</v>
      </c>
      <c r="E8" s="43">
        <f t="array" aca="1" ref="E8" ca="1">INDIRECT("'"&amp;$B$3&amp;"'!"&amp;CHAR(64+COLUMN())&amp;(ROW()-4))</f>
        <v>123.5</v>
      </c>
      <c r="F8" s="43">
        <f t="array" aca="1" ref="F8" ca="1">INDIRECT("'"&amp;$B$3&amp;"'!"&amp;CHAR(64+COLUMN())&amp;(ROW()-4))</f>
        <v>19598</v>
      </c>
      <c r="G8" s="43">
        <f t="array" aca="1" ref="G8" ca="1">INDIRECT("'"&amp;$B$3&amp;"'!"&amp;CHAR(64+COLUMN())&amp;(ROW()-4))</f>
        <v>-1.2</v>
      </c>
      <c r="H8" s="43">
        <f t="array" aca="1" ref="H8" ca="1">INDIRECT("'"&amp;$B$3&amp;"'!"&amp;CHAR(64+COLUMN())&amp;(ROW()-4))</f>
        <v>124.7</v>
      </c>
      <c r="I8" s="43">
        <f t="array" aca="1" ref="I8" ca="1">INDIRECT("'"&amp;$B$3&amp;"'!"&amp;CHAR(64+COLUMN())&amp;(ROW()-4))</f>
        <v>126</v>
      </c>
      <c r="J8" s="43">
        <f t="array" aca="1" ref="J8" ca="1">INDIRECT("'"&amp;$B$3&amp;"'!"&amp;CHAR(64+COLUMN())&amp;(ROW()-4))</f>
        <v>128.65</v>
      </c>
      <c r="K8" s="43">
        <f t="array" aca="1" ref="K8" ca="1">INDIRECT("'"&amp;$B$3&amp;"'!"&amp;CHAR(64+COLUMN())&amp;(ROW()-4))</f>
        <v>37.326339108806607</v>
      </c>
      <c r="L8" s="43">
        <f t="array" aca="1" ref="L8" ca="1">INDIRECT("'"&amp;$B$3&amp;"'!"&amp;CHAR(64+COLUMN())&amp;(ROW()-4))</f>
        <v>40.395228871815988</v>
      </c>
      <c r="M8" s="43">
        <f t="array" aca="1" ref="M8" ca="1">INDIRECT("'"&amp;$B$3&amp;"'!"&amp;CHAR(64+COLUMN())&amp;(ROW()-4))</f>
        <v>19.179054694313731</v>
      </c>
      <c r="N8" s="43">
        <f t="array" aca="1" ref="N8" ca="1">INDIRECT("'"&amp;$B$3&amp;"'!"&amp;CHAR(64+COLUMN())&amp;(ROW()-4))</f>
        <v>21.27598294133254</v>
      </c>
      <c r="O8" s="43">
        <f t="array" aca="1" ref="O8" ca="1">INDIRECT("'"&amp;$B$3&amp;"'!"&amp;CHAR(64+COLUMN())&amp;(ROW()-4))</f>
        <v>-0.32470759679404998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MA10=140.7  MA20=136.0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131</v>
      </c>
      <c r="D9" s="43">
        <f t="array" aca="1" ref="D9" ca="1">INDIRECT("'"&amp;$B$3&amp;"'!"&amp;CHAR(64+COLUMN())&amp;(ROW()-4))</f>
        <v>126.5</v>
      </c>
      <c r="E9" s="43">
        <f t="array" aca="1" ref="E9" ca="1">INDIRECT("'"&amp;$B$3&amp;"'!"&amp;CHAR(64+COLUMN())&amp;(ROW()-4))</f>
        <v>131</v>
      </c>
      <c r="F9" s="43">
        <f t="array" aca="1" ref="F9" ca="1">INDIRECT("'"&amp;$B$3&amp;"'!"&amp;CHAR(64+COLUMN())&amp;(ROW()-4))</f>
        <v>40544</v>
      </c>
      <c r="G9" s="43">
        <f t="array" aca="1" ref="G9" ca="1">INDIRECT("'"&amp;$B$3&amp;"'!"&amp;CHAR(64+COLUMN())&amp;(ROW()-4))</f>
        <v>6.0728744939271264</v>
      </c>
      <c r="H9" s="43">
        <f t="array" aca="1" ref="H9" ca="1">INDIRECT("'"&amp;$B$3&amp;"'!"&amp;CHAR(64+COLUMN())&amp;(ROW()-4))</f>
        <v>125.8</v>
      </c>
      <c r="I9" s="43">
        <f t="array" aca="1" ref="I9" ca="1">INDIRECT("'"&amp;$B$3&amp;"'!"&amp;CHAR(64+COLUMN())&amp;(ROW()-4))</f>
        <v>126.55</v>
      </c>
      <c r="J9" s="43">
        <f t="array" aca="1" ref="J9" ca="1">INDIRECT("'"&amp;$B$3&amp;"'!"&amp;CHAR(64+COLUMN())&amp;(ROW()-4))</f>
        <v>128.82499999999999</v>
      </c>
      <c r="K9" s="43">
        <f t="array" aca="1" ref="K9" ca="1">INDIRECT("'"&amp;$B$3&amp;"'!"&amp;CHAR(64+COLUMN())&amp;(ROW()-4))</f>
        <v>62.571030355225098</v>
      </c>
      <c r="L9" s="43">
        <f t="array" aca="1" ref="L9" ca="1">INDIRECT("'"&amp;$B$3&amp;"'!"&amp;CHAR(64+COLUMN())&amp;(ROW()-4))</f>
        <v>54.144525584986987</v>
      </c>
      <c r="M9" s="43">
        <f t="array" aca="1" ref="M9" ca="1">INDIRECT("'"&amp;$B$3&amp;"'!"&amp;CHAR(64+COLUMN())&amp;(ROW()-4))</f>
        <v>42.610597866384587</v>
      </c>
      <c r="N9" s="43">
        <f t="array" aca="1" ref="N9" ca="1">INDIRECT("'"&amp;$B$3&amp;"'!"&amp;CHAR(64+COLUMN())&amp;(ROW()-4))</f>
        <v>28.387521249683221</v>
      </c>
      <c r="O9" s="43">
        <f t="array" aca="1" ref="O9" ca="1">INDIRECT("'"&amp;$B$3&amp;"'!"&amp;CHAR(64+COLUMN())&amp;(ROW()-4))</f>
        <v>0.15810997936413779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KD金叉:✗(K=51)  RSI6:41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132.5</v>
      </c>
      <c r="D10" s="43">
        <f t="array" aca="1" ref="D10" ca="1">INDIRECT("'"&amp;$B$3&amp;"'!"&amp;CHAR(64+COLUMN())&amp;(ROW()-4))</f>
        <v>130</v>
      </c>
      <c r="E10" s="43">
        <f t="array" aca="1" ref="E10" ca="1">INDIRECT("'"&amp;$B$3&amp;"'!"&amp;CHAR(64+COLUMN())&amp;(ROW()-4))</f>
        <v>132.5</v>
      </c>
      <c r="F10" s="43">
        <f t="array" aca="1" ref="F10" ca="1">INDIRECT("'"&amp;$B$3&amp;"'!"&amp;CHAR(64+COLUMN())&amp;(ROW()-4))</f>
        <v>37301</v>
      </c>
      <c r="G10" s="43">
        <f t="array" aca="1" ref="G10" ca="1">INDIRECT("'"&amp;$B$3&amp;"'!"&amp;CHAR(64+COLUMN())&amp;(ROW()-4))</f>
        <v>1.145038167938931</v>
      </c>
      <c r="H10" s="43">
        <f t="array" aca="1" ref="H10" ca="1">INDIRECT("'"&amp;$B$3&amp;"'!"&amp;CHAR(64+COLUMN())&amp;(ROW()-4))</f>
        <v>127.8</v>
      </c>
      <c r="I10" s="43">
        <f t="array" aca="1" ref="I10" ca="1">INDIRECT("'"&amp;$B$3&amp;"'!"&amp;CHAR(64+COLUMN())&amp;(ROW()-4))</f>
        <v>126.9</v>
      </c>
      <c r="J10" s="43">
        <f t="array" aca="1" ref="J10" ca="1">INDIRECT("'"&amp;$B$3&amp;"'!"&amp;CHAR(64+COLUMN())&amp;(ROW()-4))</f>
        <v>129</v>
      </c>
      <c r="K10" s="43">
        <f t="array" aca="1" ref="K10" ca="1">INDIRECT("'"&amp;$B$3&amp;"'!"&amp;CHAR(64+COLUMN())&amp;(ROW()-4))</f>
        <v>65.870375516287226</v>
      </c>
      <c r="L10" s="43">
        <f t="array" aca="1" ref="L10" ca="1">INDIRECT("'"&amp;$B$3&amp;"'!"&amp;CHAR(64+COLUMN())&amp;(ROW()-4))</f>
        <v>56.341797800179393</v>
      </c>
      <c r="M10" s="43">
        <f t="array" aca="1" ref="M10" ca="1">INDIRECT("'"&amp;$B$3&amp;"'!"&amp;CHAR(64+COLUMN())&amp;(ROW()-4))</f>
        <v>61.740398577589723</v>
      </c>
      <c r="N10" s="43">
        <f t="array" aca="1" ref="N10" ca="1">INDIRECT("'"&amp;$B$3&amp;"'!"&amp;CHAR(64+COLUMN())&amp;(ROW()-4))</f>
        <v>39.50514702565205</v>
      </c>
      <c r="O10" s="43">
        <f t="array" aca="1" ref="O10" ca="1">INDIRECT("'"&amp;$B$3&amp;"'!"&amp;CHAR(64+COLUMN())&amp;(ROW()-4))</f>
        <v>0.565117574318728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今量=26,873  5日均=38,671  比值=0.69x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136.5</v>
      </c>
      <c r="D11" s="43">
        <f t="array" aca="1" ref="D11" ca="1">INDIRECT("'"&amp;$B$3&amp;"'!"&amp;CHAR(64+COLUMN())&amp;(ROW()-4))</f>
        <v>133</v>
      </c>
      <c r="E11" s="43">
        <f t="array" aca="1" ref="E11" ca="1">INDIRECT("'"&amp;$B$3&amp;"'!"&amp;CHAR(64+COLUMN())&amp;(ROW()-4))</f>
        <v>135</v>
      </c>
      <c r="F11" s="43">
        <f t="array" aca="1" ref="F11" ca="1">INDIRECT("'"&amp;$B$3&amp;"'!"&amp;CHAR(64+COLUMN())&amp;(ROW()-4))</f>
        <v>42081</v>
      </c>
      <c r="G11" s="43">
        <f t="array" aca="1" ref="G11" ca="1">INDIRECT("'"&amp;$B$3&amp;"'!"&amp;CHAR(64+COLUMN())&amp;(ROW()-4))</f>
        <v>1.8867924528301889</v>
      </c>
      <c r="H11" s="43">
        <f t="array" aca="1" ref="H11" ca="1">INDIRECT("'"&amp;$B$3&amp;"'!"&amp;CHAR(64+COLUMN())&amp;(ROW()-4))</f>
        <v>129.4</v>
      </c>
      <c r="I11" s="43">
        <f t="array" aca="1" ref="I11" ca="1">INDIRECT("'"&amp;$B$3&amp;"'!"&amp;CHAR(64+COLUMN())&amp;(ROW()-4))</f>
        <v>127.6</v>
      </c>
      <c r="J11" s="43">
        <f t="array" aca="1" ref="J11" ca="1">INDIRECT("'"&amp;$B$3&amp;"'!"&amp;CHAR(64+COLUMN())&amp;(ROW()-4))</f>
        <v>129.1</v>
      </c>
      <c r="K11" s="43">
        <f t="array" aca="1" ref="K11" ca="1">INDIRECT("'"&amp;$B$3&amp;"'!"&amp;CHAR(64+COLUMN())&amp;(ROW()-4))</f>
        <v>70.985587702166029</v>
      </c>
      <c r="L11" s="43">
        <f t="array" aca="1" ref="L11" ca="1">INDIRECT("'"&amp;$B$3&amp;"'!"&amp;CHAR(64+COLUMN())&amp;(ROW()-4))</f>
        <v>59.840583758074622</v>
      </c>
      <c r="M11" s="43">
        <f t="array" aca="1" ref="M11" ca="1">INDIRECT("'"&amp;$B$3&amp;"'!"&amp;CHAR(64+COLUMN())&amp;(ROW()-4))</f>
        <v>70.922170480297908</v>
      </c>
      <c r="N11" s="43">
        <f t="array" aca="1" ref="N11" ca="1">INDIRECT("'"&amp;$B$3&amp;"'!"&amp;CHAR(64+COLUMN())&amp;(ROW()-4))</f>
        <v>49.977488177200669</v>
      </c>
      <c r="O11" s="43">
        <f t="array" aca="1" ref="O11" ca="1">INDIRECT("'"&amp;$B$3&amp;"'!"&amp;CHAR(64+COLUMN())&amp;(ROW()-4))</f>
        <v>0.96580257761687127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MA10=140.7  中 -5%=130.2  鬆 MA20=136.0  (σ=2.3%)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136.5</v>
      </c>
      <c r="D12" s="43">
        <f t="array" aca="1" ref="D12" ca="1">INDIRECT("'"&amp;$B$3&amp;"'!"&amp;CHAR(64+COLUMN())&amp;(ROW()-4))</f>
        <v>132.5</v>
      </c>
      <c r="E12" s="43">
        <f t="array" aca="1" ref="E12" ca="1">INDIRECT("'"&amp;$B$3&amp;"'!"&amp;CHAR(64+COLUMN())&amp;(ROW()-4))</f>
        <v>134.5</v>
      </c>
      <c r="F12" s="43">
        <f t="array" aca="1" ref="F12" ca="1">INDIRECT("'"&amp;$B$3&amp;"'!"&amp;CHAR(64+COLUMN())&amp;(ROW()-4))</f>
        <v>26991</v>
      </c>
      <c r="G12" s="43">
        <f t="array" aca="1" ref="G12" ca="1">INDIRECT("'"&amp;$B$3&amp;"'!"&amp;CHAR(64+COLUMN())&amp;(ROW()-4))</f>
        <v>-0.37037037037037041</v>
      </c>
      <c r="H12" s="43">
        <f t="array" aca="1" ref="H12" ca="1">INDIRECT("'"&amp;$B$3&amp;"'!"&amp;CHAR(64+COLUMN())&amp;(ROW()-4))</f>
        <v>131.30000000000001</v>
      </c>
      <c r="I12" s="43">
        <f t="array" aca="1" ref="I12" ca="1">INDIRECT("'"&amp;$B$3&amp;"'!"&amp;CHAR(64+COLUMN())&amp;(ROW()-4))</f>
        <v>128.35</v>
      </c>
      <c r="J12" s="43">
        <f t="array" aca="1" ref="J12" ca="1">INDIRECT("'"&amp;$B$3&amp;"'!"&amp;CHAR(64+COLUMN())&amp;(ROW()-4))</f>
        <v>129.19999999999999</v>
      </c>
      <c r="K12" s="43">
        <f t="array" aca="1" ref="K12" ca="1">INDIRECT("'"&amp;$B$3&amp;"'!"&amp;CHAR(64+COLUMN())&amp;(ROW()-4))</f>
        <v>68.520875097186931</v>
      </c>
      <c r="L12" s="43">
        <f t="array" aca="1" ref="L12" ca="1">INDIRECT("'"&amp;$B$3&amp;"'!"&amp;CHAR(64+COLUMN())&amp;(ROW()-4))</f>
        <v>58.812241191509337</v>
      </c>
      <c r="M12" s="43">
        <f t="array" aca="1" ref="M12" ca="1">INDIRECT("'"&amp;$B$3&amp;"'!"&amp;CHAR(64+COLUMN())&amp;(ROW()-4))</f>
        <v>75.852875558293846</v>
      </c>
      <c r="N12" s="43">
        <f t="array" aca="1" ref="N12" ca="1">INDIRECT("'"&amp;$B$3&amp;"'!"&amp;CHAR(64+COLUMN())&amp;(ROW()-4))</f>
        <v>58.602617304231728</v>
      </c>
      <c r="O12" s="43">
        <f t="array" aca="1" ref="O12" ca="1">INDIRECT("'"&amp;$B$3&amp;"'!"&amp;CHAR(64+COLUMN())&amp;(ROW()-4))</f>
        <v>1.147865882091083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收盤=137.0  MA5=140.4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139</v>
      </c>
      <c r="D13" s="43">
        <f t="array" aca="1" ref="D13" ca="1">INDIRECT("'"&amp;$B$3&amp;"'!"&amp;CHAR(64+COLUMN())&amp;(ROW()-4))</f>
        <v>136</v>
      </c>
      <c r="E13" s="43">
        <f t="array" aca="1" ref="E13" ca="1">INDIRECT("'"&amp;$B$3&amp;"'!"&amp;CHAR(64+COLUMN())&amp;(ROW()-4))</f>
        <v>136.5</v>
      </c>
      <c r="F13" s="43">
        <f t="array" aca="1" ref="F13" ca="1">INDIRECT("'"&amp;$B$3&amp;"'!"&amp;CHAR(64+COLUMN())&amp;(ROW()-4))</f>
        <v>38753</v>
      </c>
      <c r="G13" s="43">
        <f t="array" aca="1" ref="G13" ca="1">INDIRECT("'"&amp;$B$3&amp;"'!"&amp;CHAR(64+COLUMN())&amp;(ROW()-4))</f>
        <v>1.486988847583643</v>
      </c>
      <c r="H13" s="43">
        <f t="array" aca="1" ref="H13" ca="1">INDIRECT("'"&amp;$B$3&amp;"'!"&amp;CHAR(64+COLUMN())&amp;(ROW()-4))</f>
        <v>133.9</v>
      </c>
      <c r="I13" s="43">
        <f t="array" aca="1" ref="I13" ca="1">INDIRECT("'"&amp;$B$3&amp;"'!"&amp;CHAR(64+COLUMN())&amp;(ROW()-4))</f>
        <v>129.30000000000001</v>
      </c>
      <c r="J13" s="43">
        <f t="array" aca="1" ref="J13" ca="1">INDIRECT("'"&amp;$B$3&amp;"'!"&amp;CHAR(64+COLUMN())&amp;(ROW()-4))</f>
        <v>129.32499999999999</v>
      </c>
      <c r="K13" s="43">
        <f t="array" aca="1" ref="K13" ca="1">INDIRECT("'"&amp;$B$3&amp;"'!"&amp;CHAR(64+COLUMN())&amp;(ROW()-4))</f>
        <v>73.01779168618819</v>
      </c>
      <c r="L13" s="43">
        <f t="array" aca="1" ref="L13" ca="1">INDIRECT("'"&amp;$B$3&amp;"'!"&amp;CHAR(64+COLUMN())&amp;(ROW()-4))</f>
        <v>61.685370510768223</v>
      </c>
      <c r="M13" s="43">
        <f t="array" aca="1" ref="M13" ca="1">INDIRECT("'"&amp;$B$3&amp;"'!"&amp;CHAR(64+COLUMN())&amp;(ROW()-4))</f>
        <v>78.851411988357512</v>
      </c>
      <c r="N13" s="43">
        <f t="array" aca="1" ref="N13" ca="1">INDIRECT("'"&amp;$B$3&amp;"'!"&amp;CHAR(64+COLUMN())&amp;(ROW()-4))</f>
        <v>65.352215532273647</v>
      </c>
      <c r="O13" s="43">
        <f t="array" aca="1" ref="O13" ca="1">INDIRECT("'"&amp;$B$3&amp;"'!"&amp;CHAR(64+COLUMN())&amp;(ROW()-4))</f>
        <v>1.3402852228921811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138</v>
      </c>
      <c r="D14" s="43">
        <f t="array" aca="1" ref="D14" ca="1">INDIRECT("'"&amp;$B$3&amp;"'!"&amp;CHAR(64+COLUMN())&amp;(ROW()-4))</f>
        <v>132</v>
      </c>
      <c r="E14" s="43">
        <f t="array" aca="1" ref="E14" ca="1">INDIRECT("'"&amp;$B$3&amp;"'!"&amp;CHAR(64+COLUMN())&amp;(ROW()-4))</f>
        <v>133</v>
      </c>
      <c r="F14" s="43">
        <f t="array" aca="1" ref="F14" ca="1">INDIRECT("'"&amp;$B$3&amp;"'!"&amp;CHAR(64+COLUMN())&amp;(ROW()-4))</f>
        <v>39441</v>
      </c>
      <c r="G14" s="43">
        <f t="array" aca="1" ref="G14" ca="1">INDIRECT("'"&amp;$B$3&amp;"'!"&amp;CHAR(64+COLUMN())&amp;(ROW()-4))</f>
        <v>-2.5641025641025639</v>
      </c>
      <c r="H14" s="43">
        <f t="array" aca="1" ref="H14" ca="1">INDIRECT("'"&amp;$B$3&amp;"'!"&amp;CHAR(64+COLUMN())&amp;(ROW()-4))</f>
        <v>134.30000000000001</v>
      </c>
      <c r="I14" s="43">
        <f t="array" aca="1" ref="I14" ca="1">INDIRECT("'"&amp;$B$3&amp;"'!"&amp;CHAR(64+COLUMN())&amp;(ROW()-4))</f>
        <v>130.05000000000001</v>
      </c>
      <c r="J14" s="43">
        <f t="array" aca="1" ref="J14" ca="1">INDIRECT("'"&amp;$B$3&amp;"'!"&amp;CHAR(64+COLUMN())&amp;(ROW()-4))</f>
        <v>129.22499999999999</v>
      </c>
      <c r="K14" s="43">
        <f t="array" aca="1" ref="K14" ca="1">INDIRECT("'"&amp;$B$3&amp;"'!"&amp;CHAR(64+COLUMN())&amp;(ROW()-4))</f>
        <v>56.167823912593747</v>
      </c>
      <c r="L14" s="43">
        <f t="array" aca="1" ref="L14" ca="1">INDIRECT("'"&amp;$B$3&amp;"'!"&amp;CHAR(64+COLUMN())&amp;(ROW()-4))</f>
        <v>54.436006905192677</v>
      </c>
      <c r="M14" s="43">
        <f t="array" aca="1" ref="M14" ca="1">INDIRECT("'"&amp;$B$3&amp;"'!"&amp;CHAR(64+COLUMN())&amp;(ROW()-4))</f>
        <v>73.400941325571665</v>
      </c>
      <c r="N14" s="43">
        <f t="array" aca="1" ref="N14" ca="1">INDIRECT("'"&amp;$B$3&amp;"'!"&amp;CHAR(64+COLUMN())&amp;(ROW()-4))</f>
        <v>68.035124130039648</v>
      </c>
      <c r="O14" s="43">
        <f t="array" aca="1" ref="O14" ca="1">INDIRECT("'"&amp;$B$3&amp;"'!"&amp;CHAR(64+COLUMN())&amp;(ROW()-4))</f>
        <v>1.1750566546985881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135.5</v>
      </c>
      <c r="D15" s="43">
        <f t="array" aca="1" ref="D15" ca="1">INDIRECT("'"&amp;$B$3&amp;"'!"&amp;CHAR(64+COLUMN())&amp;(ROW()-4))</f>
        <v>131.5</v>
      </c>
      <c r="E15" s="43">
        <f t="array" aca="1" ref="E15" ca="1">INDIRECT("'"&amp;$B$3&amp;"'!"&amp;CHAR(64+COLUMN())&amp;(ROW()-4))</f>
        <v>134</v>
      </c>
      <c r="F15" s="43">
        <f t="array" aca="1" ref="F15" ca="1">INDIRECT("'"&amp;$B$3&amp;"'!"&amp;CHAR(64+COLUMN())&amp;(ROW()-4))</f>
        <v>35493</v>
      </c>
      <c r="G15" s="43">
        <f t="array" aca="1" ref="G15" ca="1">INDIRECT("'"&amp;$B$3&amp;"'!"&amp;CHAR(64+COLUMN())&amp;(ROW()-4))</f>
        <v>0.75187969924812026</v>
      </c>
      <c r="H15" s="43">
        <f t="array" aca="1" ref="H15" ca="1">INDIRECT("'"&amp;$B$3&amp;"'!"&amp;CHAR(64+COLUMN())&amp;(ROW()-4))</f>
        <v>134.6</v>
      </c>
      <c r="I15" s="43">
        <f t="array" aca="1" ref="I15" ca="1">INDIRECT("'"&amp;$B$3&amp;"'!"&amp;CHAR(64+COLUMN())&amp;(ROW()-4))</f>
        <v>131.19999999999999</v>
      </c>
      <c r="J15" s="43">
        <f t="array" aca="1" ref="J15" ca="1">INDIRECT("'"&amp;$B$3&amp;"'!"&amp;CHAR(64+COLUMN())&amp;(ROW()-4))</f>
        <v>129.22499999999999</v>
      </c>
      <c r="K15" s="43">
        <f t="array" aca="1" ref="K15" ca="1">INDIRECT("'"&amp;$B$3&amp;"'!"&amp;CHAR(64+COLUMN())&amp;(ROW()-4))</f>
        <v>59.381536769497863</v>
      </c>
      <c r="L15" s="43">
        <f t="array" aca="1" ref="L15" ca="1">INDIRECT("'"&amp;$B$3&amp;"'!"&amp;CHAR(64+COLUMN())&amp;(ROW()-4))</f>
        <v>56.046045104966012</v>
      </c>
      <c r="M15" s="43">
        <f t="array" aca="1" ref="M15" ca="1">INDIRECT("'"&amp;$B$3&amp;"'!"&amp;CHAR(64+COLUMN())&amp;(ROW()-4))</f>
        <v>71.850627550381105</v>
      </c>
      <c r="N15" s="43">
        <f t="array" aca="1" ref="N15" ca="1">INDIRECT("'"&amp;$B$3&amp;"'!"&amp;CHAR(64+COLUMN())&amp;(ROW()-4))</f>
        <v>69.306958603486805</v>
      </c>
      <c r="O15" s="43">
        <f t="array" aca="1" ref="O15" ca="1">INDIRECT("'"&amp;$B$3&amp;"'!"&amp;CHAR(64+COLUMN())&amp;(ROW()-4))</f>
        <v>1.0788241558844061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1  危險 3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137</v>
      </c>
      <c r="D16" s="43">
        <f t="array" aca="1" ref="D16" ca="1">INDIRECT("'"&amp;$B$3&amp;"'!"&amp;CHAR(64+COLUMN())&amp;(ROW()-4))</f>
        <v>132.5</v>
      </c>
      <c r="E16" s="43">
        <f t="array" aca="1" ref="E16" ca="1">INDIRECT("'"&amp;$B$3&amp;"'!"&amp;CHAR(64+COLUMN())&amp;(ROW()-4))</f>
        <v>136.5</v>
      </c>
      <c r="F16" s="43">
        <f t="array" aca="1" ref="F16" ca="1">INDIRECT("'"&amp;$B$3&amp;"'!"&amp;CHAR(64+COLUMN())&amp;(ROW()-4))</f>
        <v>36847</v>
      </c>
      <c r="G16" s="43">
        <f t="array" aca="1" ref="G16" ca="1">INDIRECT("'"&amp;$B$3&amp;"'!"&amp;CHAR(64+COLUMN())&amp;(ROW()-4))</f>
        <v>1.8656716417910451</v>
      </c>
      <c r="H16" s="43">
        <f t="array" aca="1" ref="H16" ca="1">INDIRECT("'"&amp;$B$3&amp;"'!"&amp;CHAR(64+COLUMN())&amp;(ROW()-4))</f>
        <v>134.9</v>
      </c>
      <c r="I16" s="43">
        <f t="array" aca="1" ref="I16" ca="1">INDIRECT("'"&amp;$B$3&amp;"'!"&amp;CHAR(64+COLUMN())&amp;(ROW()-4))</f>
        <v>132.15</v>
      </c>
      <c r="J16" s="43">
        <f t="array" aca="1" ref="J16" ca="1">INDIRECT("'"&amp;$B$3&amp;"'!"&amp;CHAR(64+COLUMN())&amp;(ROW()-4))</f>
        <v>129.52500000000001</v>
      </c>
      <c r="K16" s="43">
        <f t="array" aca="1" ref="K16" ca="1">INDIRECT("'"&amp;$B$3&amp;"'!"&amp;CHAR(64+COLUMN())&amp;(ROW()-4))</f>
        <v>66.704969682501286</v>
      </c>
      <c r="L16" s="43">
        <f t="array" aca="1" ref="L16" ca="1">INDIRECT("'"&amp;$B$3&amp;"'!"&amp;CHAR(64+COLUMN())&amp;(ROW()-4))</f>
        <v>59.909569771306451</v>
      </c>
      <c r="M16" s="43">
        <f t="array" aca="1" ref="M16" ca="1">INDIRECT("'"&amp;$B$3&amp;"'!"&amp;CHAR(64+COLUMN())&amp;(ROW()-4))</f>
        <v>76.025418366920732</v>
      </c>
      <c r="N16" s="43">
        <f t="array" aca="1" ref="N16" ca="1">INDIRECT("'"&amp;$B$3&amp;"'!"&amp;CHAR(64+COLUMN())&amp;(ROW()-4))</f>
        <v>71.546445191298105</v>
      </c>
      <c r="O16" s="43">
        <f t="array" aca="1" ref="O16" ca="1">INDIRECT("'"&amp;$B$3&amp;"'!"&amp;CHAR(64+COLUMN())&amp;(ROW()-4))</f>
        <v>1.1241493605372861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141</v>
      </c>
      <c r="D17" s="43">
        <f t="array" aca="1" ref="D17" ca="1">INDIRECT("'"&amp;$B$3&amp;"'!"&amp;CHAR(64+COLUMN())&amp;(ROW()-4))</f>
        <v>135.5</v>
      </c>
      <c r="E17" s="43">
        <f t="array" aca="1" ref="E17" ca="1">INDIRECT("'"&amp;$B$3&amp;"'!"&amp;CHAR(64+COLUMN())&amp;(ROW()-4))</f>
        <v>140.5</v>
      </c>
      <c r="F17" s="43">
        <f t="array" aca="1" ref="F17" ca="1">INDIRECT("'"&amp;$B$3&amp;"'!"&amp;CHAR(64+COLUMN())&amp;(ROW()-4))</f>
        <v>79145</v>
      </c>
      <c r="G17" s="43">
        <f t="array" aca="1" ref="G17" ca="1">INDIRECT("'"&amp;$B$3&amp;"'!"&amp;CHAR(64+COLUMN())&amp;(ROW()-4))</f>
        <v>2.9304029304029302</v>
      </c>
      <c r="H17" s="43">
        <f t="array" aca="1" ref="H17" ca="1">INDIRECT("'"&amp;$B$3&amp;"'!"&amp;CHAR(64+COLUMN())&amp;(ROW()-4))</f>
        <v>136.1</v>
      </c>
      <c r="I17" s="43">
        <f t="array" aca="1" ref="I17" ca="1">INDIRECT("'"&amp;$B$3&amp;"'!"&amp;CHAR(64+COLUMN())&amp;(ROW()-4))</f>
        <v>133.69999999999999</v>
      </c>
      <c r="J17" s="43">
        <f t="array" aca="1" ref="J17" ca="1">INDIRECT("'"&amp;$B$3&amp;"'!"&amp;CHAR(64+COLUMN())&amp;(ROW()-4))</f>
        <v>130.17500000000001</v>
      </c>
      <c r="K17" s="43">
        <f t="array" aca="1" ref="K17" ca="1">INDIRECT("'"&amp;$B$3&amp;"'!"&amp;CHAR(64+COLUMN())&amp;(ROW()-4))</f>
        <v>75.266889932074363</v>
      </c>
      <c r="L17" s="43">
        <f t="array" aca="1" ref="L17" ca="1">INDIRECT("'"&amp;$B$3&amp;"'!"&amp;CHAR(64+COLUMN())&amp;(ROW()-4))</f>
        <v>65.242254126421713</v>
      </c>
      <c r="M17" s="43">
        <f t="array" aca="1" ref="M17" ca="1">INDIRECT("'"&amp;$B$3&amp;"'!"&amp;CHAR(64+COLUMN())&amp;(ROW()-4))</f>
        <v>82.867520290590818</v>
      </c>
      <c r="N17" s="43">
        <f t="array" aca="1" ref="N17" ca="1">INDIRECT("'"&amp;$B$3&amp;"'!"&amp;CHAR(64+COLUMN())&amp;(ROW()-4))</f>
        <v>75.320136891062333</v>
      </c>
      <c r="O17" s="43">
        <f t="array" aca="1" ref="O17" ca="1">INDIRECT("'"&amp;$B$3&amp;"'!"&amp;CHAR(64+COLUMN())&amp;(ROW()-4))</f>
        <v>1.348988501112431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145.5</v>
      </c>
      <c r="D18" s="43">
        <f t="array" aca="1" ref="D18" ca="1">INDIRECT("'"&amp;$B$3&amp;"'!"&amp;CHAR(64+COLUMN())&amp;(ROW()-4))</f>
        <v>141.5</v>
      </c>
      <c r="E18" s="43">
        <f t="array" aca="1" ref="E18" ca="1">INDIRECT("'"&amp;$B$3&amp;"'!"&amp;CHAR(64+COLUMN())&amp;(ROW()-4))</f>
        <v>144.5</v>
      </c>
      <c r="F18" s="43">
        <f t="array" aca="1" ref="F18" ca="1">INDIRECT("'"&amp;$B$3&amp;"'!"&amp;CHAR(64+COLUMN())&amp;(ROW()-4))</f>
        <v>86280</v>
      </c>
      <c r="G18" s="43">
        <f t="array" aca="1" ref="G18" ca="1">INDIRECT("'"&amp;$B$3&amp;"'!"&amp;CHAR(64+COLUMN())&amp;(ROW()-4))</f>
        <v>2.8469750889679708</v>
      </c>
      <c r="H18" s="43">
        <f t="array" aca="1" ref="H18" ca="1">INDIRECT("'"&amp;$B$3&amp;"'!"&amp;CHAR(64+COLUMN())&amp;(ROW()-4))</f>
        <v>137.69999999999999</v>
      </c>
      <c r="I18" s="43">
        <f t="array" aca="1" ref="I18" ca="1">INDIRECT("'"&amp;$B$3&amp;"'!"&amp;CHAR(64+COLUMN())&amp;(ROW()-4))</f>
        <v>135.80000000000001</v>
      </c>
      <c r="J18" s="43">
        <f t="array" aca="1" ref="J18" ca="1">INDIRECT("'"&amp;$B$3&amp;"'!"&amp;CHAR(64+COLUMN())&amp;(ROW()-4))</f>
        <v>130.9</v>
      </c>
      <c r="K18" s="43">
        <f t="array" aca="1" ref="K18" ca="1">INDIRECT("'"&amp;$B$3&amp;"'!"&amp;CHAR(64+COLUMN())&amp;(ROW()-4))</f>
        <v>81.099329223252312</v>
      </c>
      <c r="L18" s="43">
        <f t="array" aca="1" ref="L18" ca="1">INDIRECT("'"&amp;$B$3&amp;"'!"&amp;CHAR(64+COLUMN())&amp;(ROW()-4))</f>
        <v>69.646774034656943</v>
      </c>
      <c r="M18" s="43">
        <f t="array" aca="1" ref="M18" ca="1">INDIRECT("'"&amp;$B$3&amp;"'!"&amp;CHAR(64+COLUMN())&amp;(ROW()-4))</f>
        <v>86.427809225985271</v>
      </c>
      <c r="N18" s="43">
        <f t="array" aca="1" ref="N18" ca="1">INDIRECT("'"&amp;$B$3&amp;"'!"&amp;CHAR(64+COLUMN())&amp;(ROW()-4))</f>
        <v>79.022694336036636</v>
      </c>
      <c r="O18" s="43">
        <f t="array" aca="1" ref="O18" ca="1">INDIRECT("'"&amp;$B$3&amp;"'!"&amp;CHAR(64+COLUMN())&amp;(ROW()-4))</f>
        <v>1.6714824420164069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145.5</v>
      </c>
      <c r="D19" s="43">
        <f t="array" aca="1" ref="D19" ca="1">INDIRECT("'"&amp;$B$3&amp;"'!"&amp;CHAR(64+COLUMN())&amp;(ROW()-4))</f>
        <v>143</v>
      </c>
      <c r="E19" s="43">
        <f t="array" aca="1" ref="E19" ca="1">INDIRECT("'"&amp;$B$3&amp;"'!"&amp;CHAR(64+COLUMN())&amp;(ROW()-4))</f>
        <v>144</v>
      </c>
      <c r="F19" s="43">
        <f t="array" aca="1" ref="F19" ca="1">INDIRECT("'"&amp;$B$3&amp;"'!"&amp;CHAR(64+COLUMN())&amp;(ROW()-4))</f>
        <v>50378</v>
      </c>
      <c r="G19" s="43">
        <f t="array" aca="1" ref="G19" ca="1">INDIRECT("'"&amp;$B$3&amp;"'!"&amp;CHAR(64+COLUMN())&amp;(ROW()-4))</f>
        <v>-0.34602076124567482</v>
      </c>
      <c r="H19" s="43">
        <f t="array" aca="1" ref="H19" ca="1">INDIRECT("'"&amp;$B$3&amp;"'!"&amp;CHAR(64+COLUMN())&amp;(ROW()-4))</f>
        <v>139.9</v>
      </c>
      <c r="I19" s="43">
        <f t="array" aca="1" ref="I19" ca="1">INDIRECT("'"&amp;$B$3&amp;"'!"&amp;CHAR(64+COLUMN())&amp;(ROW()-4))</f>
        <v>137.1</v>
      </c>
      <c r="J19" s="43">
        <f t="array" aca="1" ref="J19" ca="1">INDIRECT("'"&amp;$B$3&amp;"'!"&amp;CHAR(64+COLUMN())&amp;(ROW()-4))</f>
        <v>131.82499999999999</v>
      </c>
      <c r="K19" s="43">
        <f t="array" aca="1" ref="K19" ca="1">INDIRECT("'"&amp;$B$3&amp;"'!"&amp;CHAR(64+COLUMN())&amp;(ROW()-4))</f>
        <v>78.328667565186549</v>
      </c>
      <c r="L19" s="43">
        <f t="array" aca="1" ref="L19" ca="1">INDIRECT("'"&amp;$B$3&amp;"'!"&amp;CHAR(64+COLUMN())&amp;(ROW()-4))</f>
        <v>68.463716091465216</v>
      </c>
      <c r="M19" s="43">
        <f t="array" aca="1" ref="M19" ca="1">INDIRECT("'"&amp;$B$3&amp;"'!"&amp;CHAR(64+COLUMN())&amp;(ROW()-4))</f>
        <v>87.380444245894935</v>
      </c>
      <c r="N19" s="43">
        <f t="array" aca="1" ref="N19" ca="1">INDIRECT("'"&amp;$B$3&amp;"'!"&amp;CHAR(64+COLUMN())&amp;(ROW()-4))</f>
        <v>81.808610972656069</v>
      </c>
      <c r="O19" s="43">
        <f t="array" aca="1" ref="O19" ca="1">INDIRECT("'"&amp;$B$3&amp;"'!"&amp;CHAR(64+COLUMN())&amp;(ROW()-4))</f>
        <v>1.747289720829504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146</v>
      </c>
      <c r="D20" s="43">
        <f t="array" aca="1" ref="D20" ca="1">INDIRECT("'"&amp;$B$3&amp;"'!"&amp;CHAR(64+COLUMN())&amp;(ROW()-4))</f>
        <v>135</v>
      </c>
      <c r="E20" s="43">
        <f t="array" aca="1" ref="E20" ca="1">INDIRECT("'"&amp;$B$3&amp;"'!"&amp;CHAR(64+COLUMN())&amp;(ROW()-4))</f>
        <v>139.5</v>
      </c>
      <c r="F20" s="43">
        <f t="array" aca="1" ref="F20" ca="1">INDIRECT("'"&amp;$B$3&amp;"'!"&amp;CHAR(64+COLUMN())&amp;(ROW()-4))</f>
        <v>63203</v>
      </c>
      <c r="G20" s="43">
        <f t="array" aca="1" ref="G20" ca="1">INDIRECT("'"&amp;$B$3&amp;"'!"&amp;CHAR(64+COLUMN())&amp;(ROW()-4))</f>
        <v>-3.125</v>
      </c>
      <c r="H20" s="43">
        <f t="array" aca="1" ref="H20" ca="1">INDIRECT("'"&amp;$B$3&amp;"'!"&amp;CHAR(64+COLUMN())&amp;(ROW()-4))</f>
        <v>141</v>
      </c>
      <c r="I20" s="43">
        <f t="array" aca="1" ref="I20" ca="1">INDIRECT("'"&amp;$B$3&amp;"'!"&amp;CHAR(64+COLUMN())&amp;(ROW()-4))</f>
        <v>137.80000000000001</v>
      </c>
      <c r="J20" s="43">
        <f t="array" aca="1" ref="J20" ca="1">INDIRECT("'"&amp;$B$3&amp;"'!"&amp;CHAR(64+COLUMN())&amp;(ROW()-4))</f>
        <v>132.35</v>
      </c>
      <c r="K20" s="43">
        <f t="array" aca="1" ref="K20" ca="1">INDIRECT("'"&amp;$B$3&amp;"'!"&amp;CHAR(64+COLUMN())&amp;(ROW()-4))</f>
        <v>57.217265162110401</v>
      </c>
      <c r="L20" s="43">
        <f t="array" aca="1" ref="L20" ca="1">INDIRECT("'"&amp;$B$3&amp;"'!"&amp;CHAR(64+COLUMN())&amp;(ROW()-4))</f>
        <v>58.677637470387893</v>
      </c>
      <c r="M20" s="43">
        <f t="array" aca="1" ref="M20" ca="1">INDIRECT("'"&amp;$B$3&amp;"'!"&amp;CHAR(64+COLUMN())&amp;(ROW()-4))</f>
        <v>76.644434094964438</v>
      </c>
      <c r="N20" s="43">
        <f t="array" aca="1" ref="N20" ca="1">INDIRECT("'"&amp;$B$3&amp;"'!"&amp;CHAR(64+COLUMN())&amp;(ROW()-4))</f>
        <v>80.087218680092192</v>
      </c>
      <c r="O20" s="43">
        <f t="array" aca="1" ref="O20" ca="1">INDIRECT("'"&amp;$B$3&amp;"'!"&amp;CHAR(64+COLUMN())&amp;(ROW()-4))</f>
        <v>1.405251554153089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141.5</v>
      </c>
      <c r="D21" s="43">
        <f t="array" aca="1" ref="D21" ca="1">INDIRECT("'"&amp;$B$3&amp;"'!"&amp;CHAR(64+COLUMN())&amp;(ROW()-4))</f>
        <v>138</v>
      </c>
      <c r="E21" s="43">
        <f t="array" aca="1" ref="E21" ca="1">INDIRECT("'"&amp;$B$3&amp;"'!"&amp;CHAR(64+COLUMN())&amp;(ROW()-4))</f>
        <v>141.5</v>
      </c>
      <c r="F21" s="43">
        <f t="array" aca="1" ref="F21" ca="1">INDIRECT("'"&amp;$B$3&amp;"'!"&amp;CHAR(64+COLUMN())&amp;(ROW()-4))</f>
        <v>40785</v>
      </c>
      <c r="G21" s="43">
        <f t="array" aca="1" ref="G21" ca="1">INDIRECT("'"&amp;$B$3&amp;"'!"&amp;CHAR(64+COLUMN())&amp;(ROW()-4))</f>
        <v>1.433691756272401</v>
      </c>
      <c r="H21" s="43">
        <f t="array" aca="1" ref="H21" ca="1">INDIRECT("'"&amp;$B$3&amp;"'!"&amp;CHAR(64+COLUMN())&amp;(ROW()-4))</f>
        <v>142</v>
      </c>
      <c r="I21" s="43">
        <f t="array" aca="1" ref="I21" ca="1">INDIRECT("'"&amp;$B$3&amp;"'!"&amp;CHAR(64+COLUMN())&amp;(ROW()-4))</f>
        <v>138.44999999999999</v>
      </c>
      <c r="J21" s="43">
        <f t="array" aca="1" ref="J21" ca="1">INDIRECT("'"&amp;$B$3&amp;"'!"&amp;CHAR(64+COLUMN())&amp;(ROW()-4))</f>
        <v>133.02500000000001</v>
      </c>
      <c r="K21" s="43">
        <f t="array" aca="1" ref="K21" ca="1">INDIRECT("'"&amp;$B$3&amp;"'!"&amp;CHAR(64+COLUMN())&amp;(ROW()-4))</f>
        <v>62.594191849005867</v>
      </c>
      <c r="L21" s="43">
        <f t="array" aca="1" ref="L21" ca="1">INDIRECT("'"&amp;$B$3&amp;"'!"&amp;CHAR(64+COLUMN())&amp;(ROW()-4))</f>
        <v>61.355809612121398</v>
      </c>
      <c r="M21" s="43">
        <f t="array" aca="1" ref="M21" ca="1">INDIRECT("'"&amp;$B$3&amp;"'!"&amp;CHAR(64+COLUMN())&amp;(ROW()-4))</f>
        <v>74.084795143769398</v>
      </c>
      <c r="N21" s="43">
        <f t="array" aca="1" ref="N21" ca="1">INDIRECT("'"&amp;$B$3&amp;"'!"&amp;CHAR(64+COLUMN())&amp;(ROW()-4))</f>
        <v>78.086410834651261</v>
      </c>
      <c r="O21" s="43">
        <f t="array" aca="1" ref="O21" ca="1">INDIRECT("'"&amp;$B$3&amp;"'!"&amp;CHAR(64+COLUMN())&amp;(ROW()-4))</f>
        <v>1.230858125413504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144</v>
      </c>
      <c r="D22" s="43">
        <f t="array" aca="1" ref="D22" ca="1">INDIRECT("'"&amp;$B$3&amp;"'!"&amp;CHAR(64+COLUMN())&amp;(ROW()-4))</f>
        <v>141</v>
      </c>
      <c r="E22" s="43">
        <f t="array" aca="1" ref="E22" ca="1">INDIRECT("'"&amp;$B$3&amp;"'!"&amp;CHAR(64+COLUMN())&amp;(ROW()-4))</f>
        <v>142.5</v>
      </c>
      <c r="F22" s="43">
        <f t="array" aca="1" ref="F22" ca="1">INDIRECT("'"&amp;$B$3&amp;"'!"&amp;CHAR(64+COLUMN())&amp;(ROW()-4))</f>
        <v>38390</v>
      </c>
      <c r="G22" s="43">
        <f t="array" aca="1" ref="G22" ca="1">INDIRECT("'"&amp;$B$3&amp;"'!"&amp;CHAR(64+COLUMN())&amp;(ROW()-4))</f>
        <v>0.70671378091872794</v>
      </c>
      <c r="H22" s="43">
        <f t="array" aca="1" ref="H22" ca="1">INDIRECT("'"&amp;$B$3&amp;"'!"&amp;CHAR(64+COLUMN())&amp;(ROW()-4))</f>
        <v>142.4</v>
      </c>
      <c r="I22" s="43">
        <f t="array" aca="1" ref="I22" ca="1">INDIRECT("'"&amp;$B$3&amp;"'!"&amp;CHAR(64+COLUMN())&amp;(ROW()-4))</f>
        <v>139.25</v>
      </c>
      <c r="J22" s="43">
        <f t="array" aca="1" ref="J22" ca="1">INDIRECT("'"&amp;$B$3&amp;"'!"&amp;CHAR(64+COLUMN())&amp;(ROW()-4))</f>
        <v>133.80000000000001</v>
      </c>
      <c r="K22" s="43">
        <f t="array" aca="1" ref="K22" ca="1">INDIRECT("'"&amp;$B$3&amp;"'!"&amp;CHAR(64+COLUMN())&amp;(ROW()-4))</f>
        <v>65.217097348913455</v>
      </c>
      <c r="L22" s="43">
        <f t="array" aca="1" ref="L22" ca="1">INDIRECT("'"&amp;$B$3&amp;"'!"&amp;CHAR(64+COLUMN())&amp;(ROW()-4))</f>
        <v>62.675305883039009</v>
      </c>
      <c r="M22" s="43">
        <f t="array" aca="1" ref="M22" ca="1">INDIRECT("'"&amp;$B$3&amp;"'!"&amp;CHAR(64+COLUMN())&amp;(ROW()-4))</f>
        <v>74.677219751018669</v>
      </c>
      <c r="N22" s="43">
        <f t="array" aca="1" ref="N22" ca="1">INDIRECT("'"&amp;$B$3&amp;"'!"&amp;CHAR(64+COLUMN())&amp;(ROW()-4))</f>
        <v>76.950013806773725</v>
      </c>
      <c r="O22" s="43">
        <f t="array" aca="1" ref="O22" ca="1">INDIRECT("'"&amp;$B$3&amp;"'!"&amp;CHAR(64+COLUMN())&amp;(ROW()-4))</f>
        <v>1.104060123837985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139.5</v>
      </c>
      <c r="T22" s="55">
        <f ca="1">IF(OR(AND(LEFT($S$15,1)="🔴",RIGHT($S$15,2)="出場"),AND($S$15="🔴 觀望",$S$12="🔴")),ROUND(MAX(H25,E25*(1+N32*1.2)),1),"—")</f>
        <v>140.69999999999999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144.5</v>
      </c>
      <c r="D23" s="43">
        <f t="array" aca="1" ref="D23" ca="1">INDIRECT("'"&amp;$B$3&amp;"'!"&amp;CHAR(64+COLUMN())&amp;(ROW()-4))</f>
        <v>140</v>
      </c>
      <c r="E23" s="43">
        <f t="array" aca="1" ref="E23" ca="1">INDIRECT("'"&amp;$B$3&amp;"'!"&amp;CHAR(64+COLUMN())&amp;(ROW()-4))</f>
        <v>140.5</v>
      </c>
      <c r="F23" s="43">
        <f t="array" aca="1" ref="F23" ca="1">INDIRECT("'"&amp;$B$3&amp;"'!"&amp;CHAR(64+COLUMN())&amp;(ROW()-4))</f>
        <v>27611</v>
      </c>
      <c r="G23" s="43">
        <f t="array" aca="1" ref="G23" ca="1">INDIRECT("'"&amp;$B$3&amp;"'!"&amp;CHAR(64+COLUMN())&amp;(ROW()-4))</f>
        <v>-1.403508771929824</v>
      </c>
      <c r="H23" s="43">
        <f t="array" aca="1" ref="H23" ca="1">INDIRECT("'"&amp;$B$3&amp;"'!"&amp;CHAR(64+COLUMN())&amp;(ROW()-4))</f>
        <v>141.6</v>
      </c>
      <c r="I23" s="43">
        <f t="array" aca="1" ref="I23" ca="1">INDIRECT("'"&amp;$B$3&amp;"'!"&amp;CHAR(64+COLUMN())&amp;(ROW()-4))</f>
        <v>139.65</v>
      </c>
      <c r="J23" s="43">
        <f t="array" aca="1" ref="J23" ca="1">INDIRECT("'"&amp;$B$3&amp;"'!"&amp;CHAR(64+COLUMN())&amp;(ROW()-4))</f>
        <v>134.47499999999999</v>
      </c>
      <c r="K23" s="43">
        <f t="array" aca="1" ref="K23" ca="1">INDIRECT("'"&amp;$B$3&amp;"'!"&amp;CHAR(64+COLUMN())&amp;(ROW()-4))</f>
        <v>55.822760055869132</v>
      </c>
      <c r="L23" s="43">
        <f t="array" aca="1" ref="L23" ca="1">INDIRECT("'"&amp;$B$3&amp;"'!"&amp;CHAR(64+COLUMN())&amp;(ROW()-4))</f>
        <v>58.329868390058238</v>
      </c>
      <c r="M23" s="43">
        <f t="array" aca="1" ref="M23" ca="1">INDIRECT("'"&amp;$B$3&amp;"'!"&amp;CHAR(64+COLUMN())&amp;(ROW()-4))</f>
        <v>70.474468339759568</v>
      </c>
      <c r="N23" s="43">
        <f t="array" aca="1" ref="N23" ca="1">INDIRECT("'"&amp;$B$3&amp;"'!"&amp;CHAR(64+COLUMN())&amp;(ROW()-4))</f>
        <v>74.79149865110233</v>
      </c>
      <c r="O23" s="43">
        <f t="array" aca="1" ref="O23" ca="1">INDIRECT("'"&amp;$B$3&amp;"'!"&amp;CHAR(64+COLUMN())&amp;(ROW()-4))</f>
        <v>0.81977160689497364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140.69999999999999</v>
      </c>
      <c r="T23" s="59">
        <f ca="1">IF(OR(AND(LEFT($S$15,1)="🔴",RIGHT($S$15,2)="出場"),AND($S$15="🔴 觀望",$S$12="🔴")),ROUND(MAX(I25,E25*(1+N32*1.8)),1),"—")</f>
        <v>142.6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140.5</v>
      </c>
      <c r="D24" s="43">
        <f t="array" aca="1" ref="D24" ca="1">INDIRECT("'"&amp;$B$3&amp;"'!"&amp;CHAR(64+COLUMN())&amp;(ROW()-4))</f>
        <v>136.5</v>
      </c>
      <c r="E24" s="43">
        <f t="array" aca="1" ref="E24" ca="1">INDIRECT("'"&amp;$B$3&amp;"'!"&amp;CHAR(64+COLUMN())&amp;(ROW()-4))</f>
        <v>140.5</v>
      </c>
      <c r="F24" s="43">
        <f t="array" aca="1" ref="F24" ca="1">INDIRECT("'"&amp;$B$3&amp;"'!"&amp;CHAR(64+COLUMN())&amp;(ROW()-4))</f>
        <v>23368</v>
      </c>
      <c r="G24" s="43">
        <f t="array" aca="1" ref="G24" ca="1">INDIRECT("'"&amp;$B$3&amp;"'!"&amp;CHAR(64+COLUMN())&amp;(ROW()-4))</f>
        <v>0</v>
      </c>
      <c r="H24" s="43">
        <f t="array" aca="1" ref="H24" ca="1">INDIRECT("'"&amp;$B$3&amp;"'!"&amp;CHAR(64+COLUMN())&amp;(ROW()-4))</f>
        <v>140.9</v>
      </c>
      <c r="I24" s="43">
        <f t="array" aca="1" ref="I24" ca="1">INDIRECT("'"&amp;$B$3&amp;"'!"&amp;CHAR(64+COLUMN())&amp;(ROW()-4))</f>
        <v>140.4</v>
      </c>
      <c r="J24" s="43">
        <f t="array" aca="1" ref="J24" ca="1">INDIRECT("'"&amp;$B$3&amp;"'!"&amp;CHAR(64+COLUMN())&amp;(ROW()-4))</f>
        <v>135.22499999999999</v>
      </c>
      <c r="K24" s="43">
        <f t="array" aca="1" ref="K24" ca="1">INDIRECT("'"&amp;$B$3&amp;"'!"&amp;CHAR(64+COLUMN())&amp;(ROW()-4))</f>
        <v>55.822760055869111</v>
      </c>
      <c r="L24" s="43">
        <f t="array" aca="1" ref="L24" ca="1">INDIRECT("'"&amp;$B$3&amp;"'!"&amp;CHAR(64+COLUMN())&amp;(ROW()-4))</f>
        <v>58.329868390058238</v>
      </c>
      <c r="M24" s="43">
        <f t="array" aca="1" ref="M24" ca="1">INDIRECT("'"&amp;$B$3&amp;"'!"&amp;CHAR(64+COLUMN())&amp;(ROW()-4))</f>
        <v>66.736065312926115</v>
      </c>
      <c r="N24" s="43">
        <f t="array" aca="1" ref="N24" ca="1">INDIRECT("'"&amp;$B$3&amp;"'!"&amp;CHAR(64+COLUMN())&amp;(ROW()-4))</f>
        <v>72.106354205043587</v>
      </c>
      <c r="O24" s="43">
        <f t="array" aca="1" ref="O24" ca="1">INDIRECT("'"&amp;$B$3&amp;"'!"&amp;CHAR(64+COLUMN())&amp;(ROW()-4))</f>
        <v>0.57744086216103963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143.19999999999999</v>
      </c>
      <c r="T24" s="61">
        <f ca="1">IF(OR(AND(LEFT($S$15,1)="🔴",RIGHT($S$15,2)="出場"),AND($S$15="🔴 觀望",$S$12="🔴")),ROUND(E25*(1+N32*2.4),1),"—")</f>
        <v>144.5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140.5</v>
      </c>
      <c r="D25" s="43">
        <f t="array" aca="1" ref="D25" ca="1">INDIRECT("'"&amp;$B$3&amp;"'!"&amp;CHAR(64+COLUMN())&amp;(ROW()-4))</f>
        <v>136</v>
      </c>
      <c r="E25" s="43">
        <f t="array" aca="1" ref="E25" ca="1">INDIRECT("'"&amp;$B$3&amp;"'!"&amp;CHAR(64+COLUMN())&amp;(ROW()-4))</f>
        <v>137</v>
      </c>
      <c r="F25" s="43">
        <f t="array" aca="1" ref="F25" ca="1">INDIRECT("'"&amp;$B$3&amp;"'!"&amp;CHAR(64+COLUMN())&amp;(ROW()-4))</f>
        <v>26873</v>
      </c>
      <c r="G25" s="43">
        <f t="array" aca="1" ref="G25" ca="1">INDIRECT("'"&amp;$B$3&amp;"'!"&amp;CHAR(64+COLUMN())&amp;(ROW()-4))</f>
        <v>-2.4911032028469751</v>
      </c>
      <c r="H25" s="43">
        <f t="array" aca="1" ref="H25" ca="1">INDIRECT("'"&amp;$B$3&amp;"'!"&amp;CHAR(64+COLUMN())&amp;(ROW()-4))</f>
        <v>140.4</v>
      </c>
      <c r="I25" s="43">
        <f t="array" aca="1" ref="I25" ca="1">INDIRECT("'"&amp;$B$3&amp;"'!"&amp;CHAR(64+COLUMN())&amp;(ROW()-4))</f>
        <v>140.69999999999999</v>
      </c>
      <c r="J25" s="43">
        <f t="array" aca="1" ref="J25" ca="1">INDIRECT("'"&amp;$B$3&amp;"'!"&amp;CHAR(64+COLUMN())&amp;(ROW()-4))</f>
        <v>135.94999999999999</v>
      </c>
      <c r="K25" s="43">
        <f t="array" aca="1" ref="K25" ca="1">INDIRECT("'"&amp;$B$3&amp;"'!"&amp;CHAR(64+COLUMN())&amp;(ROW()-4))</f>
        <v>40.955838597837761</v>
      </c>
      <c r="L25" s="43">
        <f t="array" aca="1" ref="L25" ca="1">INDIRECT("'"&amp;$B$3&amp;"'!"&amp;CHAR(64+COLUMN())&amp;(ROW()-4))</f>
        <v>50.970047375760338</v>
      </c>
      <c r="M25" s="43">
        <f t="array" aca="1" ref="M25" ca="1">INDIRECT("'"&amp;$B$3&amp;"'!"&amp;CHAR(64+COLUMN())&amp;(ROW()-4))</f>
        <v>50.55131626922347</v>
      </c>
      <c r="N25" s="43">
        <f t="array" aca="1" ref="N25" ca="1">INDIRECT("'"&amp;$B$3&amp;"'!"&amp;CHAR(64+COLUMN())&amp;(ROW()-4))</f>
        <v>64.921341559770212</v>
      </c>
      <c r="O25" s="43">
        <f t="array" aca="1" ref="O25" ca="1">INDIRECT("'"&amp;$B$3&amp;"'!"&amp;CHAR(64+COLUMN())&amp;(ROW()-4))</f>
        <v>0.14943388637118371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137.0、σ=2.27%）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133.9</v>
      </c>
      <c r="S27" s="69">
        <f ca="1">ROUND((E25*(1-N32)-E25)/E25,4)</f>
        <v>-2.2700000000000001E-2</v>
      </c>
      <c r="T27" s="70" t="str">
        <f ca="1">"再跌 "&amp;TEXT(ABS((E25*(1-N32)-E25)/E25),"0.0%")&amp;" 至 "&amp;TEXT(E25*(1-N32),"0.0")&amp;" 進入積極買進區"</f>
        <v>再跌 2.3% 至 133.9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146</v>
      </c>
      <c r="Q28" s="71" t="s">
        <v>129</v>
      </c>
      <c r="R28" s="72">
        <f ca="1">ROUND(MAX(H25,E25*(1+N32)),1)</f>
        <v>140.4</v>
      </c>
      <c r="S28" s="73">
        <f ca="1">ROUND((MAX(H25,E25*(1+N32))-E25)/E25,4)</f>
        <v>2.4799999999999999E-2</v>
      </c>
      <c r="T28" s="74" t="str">
        <f ca="1">"再漲 "&amp;TEXT(ABS((MAX(H25,E25*(1+N32))-E25)/E25),"0.0%")&amp;" 至 "&amp;TEXT(MAX(H25,E25*(1+N32)),"0.0")&amp;" 進入反彈賣出區"</f>
        <v>再漲 2.5% 至 140.4 進入反彈賣出區</v>
      </c>
    </row>
    <row r="29" spans="1:20" x14ac:dyDescent="0.2">
      <c r="A29" s="1" t="s">
        <v>130</v>
      </c>
      <c r="B29" s="8">
        <v>1.85</v>
      </c>
      <c r="C29" s="8">
        <v>2.2000000000000002</v>
      </c>
      <c r="D29" s="8">
        <v>2.36</v>
      </c>
      <c r="E29" s="8">
        <v>2.59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123</v>
      </c>
    </row>
    <row r="30" spans="1:20" ht="16" customHeight="1" x14ac:dyDescent="0.2">
      <c r="A30" s="1" t="s">
        <v>132</v>
      </c>
      <c r="B30" s="107">
        <v>9.02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135.94999999999999</v>
      </c>
    </row>
    <row r="31" spans="1:20" x14ac:dyDescent="0.2">
      <c r="A31" s="9" t="s">
        <v>134</v>
      </c>
      <c r="B31" t="s">
        <v>95</v>
      </c>
      <c r="C31" s="11">
        <v>0.1891891891891892</v>
      </c>
      <c r="D31" s="11">
        <v>7.2727272727272585E-2</v>
      </c>
      <c r="E31" s="11">
        <v>9.7457627118644086E-2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7.874015748031496E-2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2.2673488095948716E-2</v>
      </c>
    </row>
    <row r="33" spans="1:14" ht="17" customHeight="1" x14ac:dyDescent="0.2">
      <c r="A33" s="108" t="s">
        <v>162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137</v>
      </c>
    </row>
    <row r="34" spans="1:14" x14ac:dyDescent="0.2">
      <c r="A34" t="s">
        <v>141</v>
      </c>
      <c r="B34" s="26">
        <v>3.8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55.84</v>
      </c>
      <c r="G35" t="s">
        <v>146</v>
      </c>
      <c r="H35" s="27">
        <f>B36*B30</f>
        <v>72.16</v>
      </c>
      <c r="I35" s="27">
        <f>C36*B30</f>
        <v>126.28</v>
      </c>
      <c r="J35" s="27">
        <f>D36*B30</f>
        <v>180.39999999999998</v>
      </c>
    </row>
    <row r="36" spans="1:14" ht="17" customHeight="1" x14ac:dyDescent="0.2">
      <c r="A36" t="s">
        <v>147</v>
      </c>
      <c r="B36" s="26">
        <v>8</v>
      </c>
      <c r="C36" s="26">
        <v>14</v>
      </c>
      <c r="D36" s="26">
        <v>20</v>
      </c>
      <c r="G36" t="s">
        <v>148</v>
      </c>
      <c r="H36" s="27">
        <f>B37*B35</f>
        <v>83.76</v>
      </c>
      <c r="I36" s="27">
        <f>C37*B35</f>
        <v>139.60000000000002</v>
      </c>
      <c r="J36" s="27">
        <f>D37*B35</f>
        <v>223.36</v>
      </c>
    </row>
    <row r="37" spans="1:14" ht="17" customHeight="1" x14ac:dyDescent="0.2">
      <c r="A37" t="s">
        <v>149</v>
      </c>
      <c r="B37" s="26">
        <v>1.5</v>
      </c>
      <c r="C37" s="26">
        <v>2.5</v>
      </c>
      <c r="D37" s="26">
        <v>4</v>
      </c>
      <c r="G37" t="s">
        <v>150</v>
      </c>
      <c r="H37" s="27">
        <f>B34/B38</f>
        <v>75.999999999999986</v>
      </c>
      <c r="I37" s="27">
        <f>B34/C38</f>
        <v>108.57142857142856</v>
      </c>
      <c r="J37" s="27">
        <f>B34/D38</f>
        <v>151.99999999999997</v>
      </c>
    </row>
    <row r="38" spans="1:14" ht="17" customHeight="1" x14ac:dyDescent="0.25">
      <c r="A38" s="40" t="s">
        <v>151</v>
      </c>
      <c r="B38" s="37">
        <v>0.05</v>
      </c>
      <c r="C38" s="37">
        <v>3.5000000000000003E-2</v>
      </c>
      <c r="D38" s="37">
        <v>2.5000000000000001E-2</v>
      </c>
      <c r="G38" s="29" t="s">
        <v>152</v>
      </c>
      <c r="H38" s="38">
        <f>AVERAGE(H35,H36,H37)</f>
        <v>77.306666666666672</v>
      </c>
      <c r="I38" s="38">
        <f>AVERAGE(I35,I36,I37)</f>
        <v>124.81714285714285</v>
      </c>
      <c r="J38" s="39">
        <f>AVERAGE(J35,J36,J37)</f>
        <v>185.25333333333333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9" priority="1" operator="lessThan">
      <formula>0</formula>
    </cfRule>
  </conditionalFormatting>
  <conditionalFormatting sqref="O6:O25">
    <cfRule type="cellIs" dxfId="18" priority="2" operator="lessThan">
      <formula>0</formula>
    </cfRule>
  </conditionalFormatting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39"/>
  <sheetViews>
    <sheetView workbookViewId="0">
      <pane ySplit="5" topLeftCell="A6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8.3320312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163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164</v>
      </c>
    </row>
    <row r="3" spans="1:20" x14ac:dyDescent="0.2">
      <c r="A3" s="1" t="s">
        <v>2</v>
      </c>
      <c r="B3" s="2">
        <v>2379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491.5</v>
      </c>
      <c r="D6" s="43">
        <f t="array" aca="1" ref="D6" ca="1">INDIRECT("'"&amp;$B$3&amp;"'!"&amp;CHAR(64+COLUMN())&amp;(ROW()-4))</f>
        <v>480.5</v>
      </c>
      <c r="E6" s="43">
        <f t="array" aca="1" ref="E6" ca="1">INDIRECT("'"&amp;$B$3&amp;"'!"&amp;CHAR(64+COLUMN())&amp;(ROW()-4))</f>
        <v>484.5</v>
      </c>
      <c r="F6" s="43">
        <f t="array" aca="1" ref="F6" ca="1">INDIRECT("'"&amp;$B$3&amp;"'!"&amp;CHAR(64+COLUMN())&amp;(ROW()-4))</f>
        <v>2540</v>
      </c>
      <c r="G6" s="43">
        <f t="array" aca="1" ref="G6" ca="1">INDIRECT("'"&amp;$B$3&amp;"'!"&amp;CHAR(64+COLUMN())&amp;(ROW()-4))</f>
        <v>1.359832635983264</v>
      </c>
      <c r="H6" s="43">
        <f t="array" aca="1" ref="H6" ca="1">INDIRECT("'"&amp;$B$3&amp;"'!"&amp;CHAR(64+COLUMN())&amp;(ROW()-4))</f>
        <v>486.8</v>
      </c>
      <c r="I6" s="43">
        <f t="array" aca="1" ref="I6" ca="1">INDIRECT("'"&amp;$B$3&amp;"'!"&amp;CHAR(64+COLUMN())&amp;(ROW()-4))</f>
        <v>482.9</v>
      </c>
      <c r="J6" s="43">
        <f t="array" aca="1" ref="J6" ca="1">INDIRECT("'"&amp;$B$3&amp;"'!"&amp;CHAR(64+COLUMN())&amp;(ROW()-4))</f>
        <v>477.55</v>
      </c>
      <c r="K6" s="43">
        <f t="array" aca="1" ref="K6" ca="1">INDIRECT("'"&amp;$B$3&amp;"'!"&amp;CHAR(64+COLUMN())&amp;(ROW()-4))</f>
        <v>52.670809155295757</v>
      </c>
      <c r="L6" s="43">
        <f t="array" aca="1" ref="L6" ca="1">INDIRECT("'"&amp;$B$3&amp;"'!"&amp;CHAR(64+COLUMN())&amp;(ROW()-4))</f>
        <v>52.113395466826141</v>
      </c>
      <c r="M6" s="43">
        <f t="array" aca="1" ref="M6" ca="1">INDIRECT("'"&amp;$B$3&amp;"'!"&amp;CHAR(64+COLUMN())&amp;(ROW()-4))</f>
        <v>58.555047137134018</v>
      </c>
      <c r="N6" s="43">
        <f t="array" aca="1" ref="N6" ca="1">INDIRECT("'"&amp;$B$3&amp;"'!"&amp;CHAR(64+COLUMN())&amp;(ROW()-4))</f>
        <v>67.553529562425382</v>
      </c>
      <c r="O6" s="43">
        <f t="array" aca="1" ref="O6" ca="1">INDIRECT("'"&amp;$B$3&amp;"'!"&amp;CHAR(64+COLUMN())&amp;(ROW()-4))</f>
        <v>1.7588625884051461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493</v>
      </c>
      <c r="D7" s="43">
        <f t="array" aca="1" ref="D7" ca="1">INDIRECT("'"&amp;$B$3&amp;"'!"&amp;CHAR(64+COLUMN())&amp;(ROW()-4))</f>
        <v>484.5</v>
      </c>
      <c r="E7" s="43">
        <f t="array" aca="1" ref="E7" ca="1">INDIRECT("'"&amp;$B$3&amp;"'!"&amp;CHAR(64+COLUMN())&amp;(ROW()-4))</f>
        <v>488</v>
      </c>
      <c r="F7" s="43">
        <f t="array" aca="1" ref="F7" ca="1">INDIRECT("'"&amp;$B$3&amp;"'!"&amp;CHAR(64+COLUMN())&amp;(ROW()-4))</f>
        <v>2417</v>
      </c>
      <c r="G7" s="43">
        <f t="array" aca="1" ref="G7" ca="1">INDIRECT("'"&amp;$B$3&amp;"'!"&amp;CHAR(64+COLUMN())&amp;(ROW()-4))</f>
        <v>0.72239422084623317</v>
      </c>
      <c r="H7" s="43">
        <f t="array" aca="1" ref="H7" ca="1">INDIRECT("'"&amp;$B$3&amp;"'!"&amp;CHAR(64+COLUMN())&amp;(ROW()-4))</f>
        <v>486.6</v>
      </c>
      <c r="I7" s="43">
        <f t="array" aca="1" ref="I7" ca="1">INDIRECT("'"&amp;$B$3&amp;"'!"&amp;CHAR(64+COLUMN())&amp;(ROW()-4))</f>
        <v>484.05</v>
      </c>
      <c r="J7" s="43">
        <f t="array" aca="1" ref="J7" ca="1">INDIRECT("'"&amp;$B$3&amp;"'!"&amp;CHAR(64+COLUMN())&amp;(ROW()-4))</f>
        <v>479.15</v>
      </c>
      <c r="K7" s="43">
        <f t="array" aca="1" ref="K7" ca="1">INDIRECT("'"&amp;$B$3&amp;"'!"&amp;CHAR(64+COLUMN())&amp;(ROW()-4))</f>
        <v>57.057836231659103</v>
      </c>
      <c r="L7" s="43">
        <f t="array" aca="1" ref="L7" ca="1">INDIRECT("'"&amp;$B$3&amp;"'!"&amp;CHAR(64+COLUMN())&amp;(ROW()-4))</f>
        <v>54.072312020675263</v>
      </c>
      <c r="M7" s="43">
        <f t="array" aca="1" ref="M7" ca="1">INDIRECT("'"&amp;$B$3&amp;"'!"&amp;CHAR(64+COLUMN())&amp;(ROW()-4))</f>
        <v>60.875778551192788</v>
      </c>
      <c r="N7" s="43">
        <f t="array" aca="1" ref="N7" ca="1">INDIRECT("'"&amp;$B$3&amp;"'!"&amp;CHAR(64+COLUMN())&amp;(ROW()-4))</f>
        <v>65.327612558681182</v>
      </c>
      <c r="O7" s="43">
        <f t="array" aca="1" ref="O7" ca="1">INDIRECT("'"&amp;$B$3&amp;"'!"&amp;CHAR(64+COLUMN())&amp;(ROW()-4))</f>
        <v>1.705462990980432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503</v>
      </c>
      <c r="D8" s="43">
        <f t="array" aca="1" ref="D8" ca="1">INDIRECT("'"&amp;$B$3&amp;"'!"&amp;CHAR(64+COLUMN())&amp;(ROW()-4))</f>
        <v>490.5</v>
      </c>
      <c r="E8" s="43">
        <f t="array" aca="1" ref="E8" ca="1">INDIRECT("'"&amp;$B$3&amp;"'!"&amp;CHAR(64+COLUMN())&amp;(ROW()-4))</f>
        <v>499</v>
      </c>
      <c r="F8" s="43">
        <f t="array" aca="1" ref="F8" ca="1">INDIRECT("'"&amp;$B$3&amp;"'!"&amp;CHAR(64+COLUMN())&amp;(ROW()-4))</f>
        <v>2522</v>
      </c>
      <c r="G8" s="43">
        <f t="array" aca="1" ref="G8" ca="1">INDIRECT("'"&amp;$B$3&amp;"'!"&amp;CHAR(64+COLUMN())&amp;(ROW()-4))</f>
        <v>2.2540983606557381</v>
      </c>
      <c r="H8" s="43">
        <f t="array" aca="1" ref="H8" ca="1">INDIRECT("'"&amp;$B$3&amp;"'!"&amp;CHAR(64+COLUMN())&amp;(ROW()-4))</f>
        <v>487.5</v>
      </c>
      <c r="I8" s="43">
        <f t="array" aca="1" ref="I8" ca="1">INDIRECT("'"&amp;$B$3&amp;"'!"&amp;CHAR(64+COLUMN())&amp;(ROW()-4))</f>
        <v>486</v>
      </c>
      <c r="J8" s="43">
        <f t="array" aca="1" ref="J8" ca="1">INDIRECT("'"&amp;$B$3&amp;"'!"&amp;CHAR(64+COLUMN())&amp;(ROW()-4))</f>
        <v>480.95</v>
      </c>
      <c r="K8" s="43">
        <f t="array" aca="1" ref="K8" ca="1">INDIRECT("'"&amp;$B$3&amp;"'!"&amp;CHAR(64+COLUMN())&amp;(ROW()-4))</f>
        <v>68.181100908530937</v>
      </c>
      <c r="L8" s="43">
        <f t="array" aca="1" ref="L8" ca="1">INDIRECT("'"&amp;$B$3&amp;"'!"&amp;CHAR(64+COLUMN())&amp;(ROW()-4))</f>
        <v>59.721526882524579</v>
      </c>
      <c r="M8" s="43">
        <f t="array" aca="1" ref="M8" ca="1">INDIRECT("'"&amp;$B$3&amp;"'!"&amp;CHAR(64+COLUMN())&amp;(ROW()-4))</f>
        <v>69.238823127695781</v>
      </c>
      <c r="N8" s="43">
        <f t="array" aca="1" ref="N8" ca="1">INDIRECT("'"&amp;$B$3&amp;"'!"&amp;CHAR(64+COLUMN())&amp;(ROW()-4))</f>
        <v>66.631349415019372</v>
      </c>
      <c r="O8" s="43">
        <f t="array" aca="1" ref="O8" ca="1">INDIRECT("'"&amp;$B$3&amp;"'!"&amp;CHAR(64+COLUMN())&amp;(ROW()-4))</f>
        <v>2.2871062298432632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MA10=547.2  MA20=529.1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510</v>
      </c>
      <c r="D9" s="43">
        <f t="array" aca="1" ref="D9" ca="1">INDIRECT("'"&amp;$B$3&amp;"'!"&amp;CHAR(64+COLUMN())&amp;(ROW()-4))</f>
        <v>501</v>
      </c>
      <c r="E9" s="43">
        <f t="array" aca="1" ref="E9" ca="1">INDIRECT("'"&amp;$B$3&amp;"'!"&amp;CHAR(64+COLUMN())&amp;(ROW()-4))</f>
        <v>505</v>
      </c>
      <c r="F9" s="43">
        <f t="array" aca="1" ref="F9" ca="1">INDIRECT("'"&amp;$B$3&amp;"'!"&amp;CHAR(64+COLUMN())&amp;(ROW()-4))</f>
        <v>2766</v>
      </c>
      <c r="G9" s="43">
        <f t="array" aca="1" ref="G9" ca="1">INDIRECT("'"&amp;$B$3&amp;"'!"&amp;CHAR(64+COLUMN())&amp;(ROW()-4))</f>
        <v>1.202404809619239</v>
      </c>
      <c r="H9" s="43">
        <f t="array" aca="1" ref="H9" ca="1">INDIRECT("'"&amp;$B$3&amp;"'!"&amp;CHAR(64+COLUMN())&amp;(ROW()-4))</f>
        <v>490.9</v>
      </c>
      <c r="I9" s="43">
        <f t="array" aca="1" ref="I9" ca="1">INDIRECT("'"&amp;$B$3&amp;"'!"&amp;CHAR(64+COLUMN())&amp;(ROW()-4))</f>
        <v>489.55</v>
      </c>
      <c r="J9" s="43">
        <f t="array" aca="1" ref="J9" ca="1">INDIRECT("'"&amp;$B$3&amp;"'!"&amp;CHAR(64+COLUMN())&amp;(ROW()-4))</f>
        <v>482</v>
      </c>
      <c r="K9" s="43">
        <f t="array" aca="1" ref="K9" ca="1">INDIRECT("'"&amp;$B$3&amp;"'!"&amp;CHAR(64+COLUMN())&amp;(ROW()-4))</f>
        <v>72.793808361016318</v>
      </c>
      <c r="L9" s="43">
        <f t="array" aca="1" ref="L9" ca="1">INDIRECT("'"&amp;$B$3&amp;"'!"&amp;CHAR(64+COLUMN())&amp;(ROW()-4))</f>
        <v>62.46851266178939</v>
      </c>
      <c r="M9" s="43">
        <f t="array" aca="1" ref="M9" ca="1">INDIRECT("'"&amp;$B$3&amp;"'!"&amp;CHAR(64+COLUMN())&amp;(ROW()-4))</f>
        <v>74.284215418463845</v>
      </c>
      <c r="N9" s="43">
        <f t="array" aca="1" ref="N9" ca="1">INDIRECT("'"&amp;$B$3&amp;"'!"&amp;CHAR(64+COLUMN())&amp;(ROW()-4))</f>
        <v>69.182304749500858</v>
      </c>
      <c r="O9" s="43">
        <f t="array" aca="1" ref="O9" ca="1">INDIRECT("'"&amp;$B$3&amp;"'!"&amp;CHAR(64+COLUMN())&amp;(ROW()-4))</f>
        <v>2.9119902191457432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MA金叉:✓  KD金叉:✗(K=46)  RSI6:45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512</v>
      </c>
      <c r="D10" s="43">
        <f t="array" aca="1" ref="D10" ca="1">INDIRECT("'"&amp;$B$3&amp;"'!"&amp;CHAR(64+COLUMN())&amp;(ROW()-4))</f>
        <v>502</v>
      </c>
      <c r="E10" s="43">
        <f t="array" aca="1" ref="E10" ca="1">INDIRECT("'"&amp;$B$3&amp;"'!"&amp;CHAR(64+COLUMN())&amp;(ROW()-4))</f>
        <v>512</v>
      </c>
      <c r="F10" s="43">
        <f t="array" aca="1" ref="F10" ca="1">INDIRECT("'"&amp;$B$3&amp;"'!"&amp;CHAR(64+COLUMN())&amp;(ROW()-4))</f>
        <v>3005</v>
      </c>
      <c r="G10" s="43">
        <f t="array" aca="1" ref="G10" ca="1">INDIRECT("'"&amp;$B$3&amp;"'!"&amp;CHAR(64+COLUMN())&amp;(ROW()-4))</f>
        <v>1.386138613861386</v>
      </c>
      <c r="H10" s="43">
        <f t="array" aca="1" ref="H10" ca="1">INDIRECT("'"&amp;$B$3&amp;"'!"&amp;CHAR(64+COLUMN())&amp;(ROW()-4))</f>
        <v>497.7</v>
      </c>
      <c r="I10" s="43">
        <f t="array" aca="1" ref="I10" ca="1">INDIRECT("'"&amp;$B$3&amp;"'!"&amp;CHAR(64+COLUMN())&amp;(ROW()-4))</f>
        <v>492.7</v>
      </c>
      <c r="J10" s="43">
        <f t="array" aca="1" ref="J10" ca="1">INDIRECT("'"&amp;$B$3&amp;"'!"&amp;CHAR(64+COLUMN())&amp;(ROW()-4))</f>
        <v>484.6</v>
      </c>
      <c r="K10" s="43">
        <f t="array" aca="1" ref="K10" ca="1">INDIRECT("'"&amp;$B$3&amp;"'!"&amp;CHAR(64+COLUMN())&amp;(ROW()-4))</f>
        <v>77.383857455599724</v>
      </c>
      <c r="L10" s="43">
        <f t="array" aca="1" ref="L10" ca="1">INDIRECT("'"&amp;$B$3&amp;"'!"&amp;CHAR(64+COLUMN())&amp;(ROW()-4))</f>
        <v>65.466052649256369</v>
      </c>
      <c r="M10" s="43">
        <f t="array" aca="1" ref="M10" ca="1">INDIRECT("'"&amp;$B$3&amp;"'!"&amp;CHAR(64+COLUMN())&amp;(ROW()-4))</f>
        <v>82.856143612309225</v>
      </c>
      <c r="N10" s="43">
        <f t="array" aca="1" ref="N10" ca="1">INDIRECT("'"&amp;$B$3&amp;"'!"&amp;CHAR(64+COLUMN())&amp;(ROW()-4))</f>
        <v>73.740251037103647</v>
      </c>
      <c r="O10" s="43">
        <f t="array" aca="1" ref="O10" ca="1">INDIRECT("'"&amp;$B$3&amp;"'!"&amp;CHAR(64+COLUMN())&amp;(ROW()-4))</f>
        <v>3.588399870893392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今量=2,851  5日均=3,703  比值=0.77x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516</v>
      </c>
      <c r="D11" s="43">
        <f t="array" aca="1" ref="D11" ca="1">INDIRECT("'"&amp;$B$3&amp;"'!"&amp;CHAR(64+COLUMN())&amp;(ROW()-4))</f>
        <v>506</v>
      </c>
      <c r="E11" s="43">
        <f t="array" aca="1" ref="E11" ca="1">INDIRECT("'"&amp;$B$3&amp;"'!"&amp;CHAR(64+COLUMN())&amp;(ROW()-4))</f>
        <v>508</v>
      </c>
      <c r="F11" s="43">
        <f t="array" aca="1" ref="F11" ca="1">INDIRECT("'"&amp;$B$3&amp;"'!"&amp;CHAR(64+COLUMN())&amp;(ROW()-4))</f>
        <v>2424</v>
      </c>
      <c r="G11" s="43">
        <f t="array" aca="1" ref="G11" ca="1">INDIRECT("'"&amp;$B$3&amp;"'!"&amp;CHAR(64+COLUMN())&amp;(ROW()-4))</f>
        <v>-0.78125</v>
      </c>
      <c r="H11" s="43">
        <f t="array" aca="1" ref="H11" ca="1">INDIRECT("'"&amp;$B$3&amp;"'!"&amp;CHAR(64+COLUMN())&amp;(ROW()-4))</f>
        <v>502.4</v>
      </c>
      <c r="I11" s="43">
        <f t="array" aca="1" ref="I11" ca="1">INDIRECT("'"&amp;$B$3&amp;"'!"&amp;CHAR(64+COLUMN())&amp;(ROW()-4))</f>
        <v>494.6</v>
      </c>
      <c r="J11" s="43">
        <f t="array" aca="1" ref="J11" ca="1">INDIRECT("'"&amp;$B$3&amp;"'!"&amp;CHAR(64+COLUMN())&amp;(ROW()-4))</f>
        <v>486.3</v>
      </c>
      <c r="K11" s="43">
        <f t="array" aca="1" ref="K11" ca="1">INDIRECT("'"&amp;$B$3&amp;"'!"&amp;CHAR(64+COLUMN())&amp;(ROW()-4))</f>
        <v>69.359691072189051</v>
      </c>
      <c r="L11" s="43">
        <f t="array" aca="1" ref="L11" ca="1">INDIRECT("'"&amp;$B$3&amp;"'!"&amp;CHAR(64+COLUMN())&amp;(ROW()-4))</f>
        <v>62.36124636608907</v>
      </c>
      <c r="M11" s="43">
        <f t="array" aca="1" ref="M11" ca="1">INDIRECT("'"&amp;$B$3&amp;"'!"&amp;CHAR(64+COLUMN())&amp;(ROW()-4))</f>
        <v>81.553218548557027</v>
      </c>
      <c r="N11" s="43">
        <f t="array" aca="1" ref="N11" ca="1">INDIRECT("'"&amp;$B$3&amp;"'!"&amp;CHAR(64+COLUMN())&amp;(ROW()-4))</f>
        <v>76.344573540921431</v>
      </c>
      <c r="O11" s="43">
        <f t="array" aca="1" ref="O11" ca="1">INDIRECT("'"&amp;$B$3&amp;"'!"&amp;CHAR(64+COLUMN())&amp;(ROW()-4))</f>
        <v>3.551473306826388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MA10=547.2  中 -5%=510.2  鬆 MA20=529.1  (σ=2.1%)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525</v>
      </c>
      <c r="D12" s="43">
        <f t="array" aca="1" ref="D12" ca="1">INDIRECT("'"&amp;$B$3&amp;"'!"&amp;CHAR(64+COLUMN())&amp;(ROW()-4))</f>
        <v>500</v>
      </c>
      <c r="E12" s="43">
        <f t="array" aca="1" ref="E12" ca="1">INDIRECT("'"&amp;$B$3&amp;"'!"&amp;CHAR(64+COLUMN())&amp;(ROW()-4))</f>
        <v>525</v>
      </c>
      <c r="F12" s="43">
        <f t="array" aca="1" ref="F12" ca="1">INDIRECT("'"&amp;$B$3&amp;"'!"&amp;CHAR(64+COLUMN())&amp;(ROW()-4))</f>
        <v>3844</v>
      </c>
      <c r="G12" s="43">
        <f t="array" aca="1" ref="G12" ca="1">INDIRECT("'"&amp;$B$3&amp;"'!"&amp;CHAR(64+COLUMN())&amp;(ROW()-4))</f>
        <v>3.3464566929133861</v>
      </c>
      <c r="H12" s="43">
        <f t="array" aca="1" ref="H12" ca="1">INDIRECT("'"&amp;$B$3&amp;"'!"&amp;CHAR(64+COLUMN())&amp;(ROW()-4))</f>
        <v>509.8</v>
      </c>
      <c r="I12" s="43">
        <f t="array" aca="1" ref="I12" ca="1">INDIRECT("'"&amp;$B$3&amp;"'!"&amp;CHAR(64+COLUMN())&amp;(ROW()-4))</f>
        <v>498.2</v>
      </c>
      <c r="J12" s="43">
        <f t="array" aca="1" ref="J12" ca="1">INDIRECT("'"&amp;$B$3&amp;"'!"&amp;CHAR(64+COLUMN())&amp;(ROW()-4))</f>
        <v>488.9</v>
      </c>
      <c r="K12" s="43">
        <f t="array" aca="1" ref="K12" ca="1">INDIRECT("'"&amp;$B$3&amp;"'!"&amp;CHAR(64+COLUMN())&amp;(ROW()-4))</f>
        <v>79.958386453600497</v>
      </c>
      <c r="L12" s="43">
        <f t="array" aca="1" ref="L12" ca="1">INDIRECT("'"&amp;$B$3&amp;"'!"&amp;CHAR(64+COLUMN())&amp;(ROW()-4))</f>
        <v>69.14565727000037</v>
      </c>
      <c r="M12" s="43">
        <f t="array" aca="1" ref="M12" ca="1">INDIRECT("'"&amp;$B$3&amp;"'!"&amp;CHAR(64+COLUMN())&amp;(ROW()-4))</f>
        <v>87.702145699038013</v>
      </c>
      <c r="N12" s="43">
        <f t="array" aca="1" ref="N12" ca="1">INDIRECT("'"&amp;$B$3&amp;"'!"&amp;CHAR(64+COLUMN())&amp;(ROW()-4))</f>
        <v>80.130430926960287</v>
      </c>
      <c r="O12" s="43">
        <f t="array" aca="1" ref="O12" ca="1">INDIRECT("'"&amp;$B$3&amp;"'!"&amp;CHAR(64+COLUMN())&amp;(ROW()-4))</f>
        <v>4.4014535879278407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🟡</v>
      </c>
      <c r="T12" t="str">
        <f ca="1">"收盤="&amp;TEXT(E25,"0.0")&amp;"  MA5="&amp;TEXT(H25,"0.0")&amp;IF(E25&gt;H25,"  守穩",IF(AND(E25&lt;H25,E24&lt;H24),"  連2日跌破","  單日跌破(警示)"))</f>
        <v>收盤=537.0  MA5=548.6  單日跌破(警示)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527</v>
      </c>
      <c r="D13" s="43">
        <f t="array" aca="1" ref="D13" ca="1">INDIRECT("'"&amp;$B$3&amp;"'!"&amp;CHAR(64+COLUMN())&amp;(ROW()-4))</f>
        <v>514</v>
      </c>
      <c r="E13" s="43">
        <f t="array" aca="1" ref="E13" ca="1">INDIRECT("'"&amp;$B$3&amp;"'!"&amp;CHAR(64+COLUMN())&amp;(ROW()-4))</f>
        <v>524</v>
      </c>
      <c r="F13" s="43">
        <f t="array" aca="1" ref="F13" ca="1">INDIRECT("'"&amp;$B$3&amp;"'!"&amp;CHAR(64+COLUMN())&amp;(ROW()-4))</f>
        <v>2925</v>
      </c>
      <c r="G13" s="43">
        <f t="array" aca="1" ref="G13" ca="1">INDIRECT("'"&amp;$B$3&amp;"'!"&amp;CHAR(64+COLUMN())&amp;(ROW()-4))</f>
        <v>-0.19047619047619049</v>
      </c>
      <c r="H13" s="43">
        <f t="array" aca="1" ref="H13" ca="1">INDIRECT("'"&amp;$B$3&amp;"'!"&amp;CHAR(64+COLUMN())&amp;(ROW()-4))</f>
        <v>514.79999999999995</v>
      </c>
      <c r="I13" s="43">
        <f t="array" aca="1" ref="I13" ca="1">INDIRECT("'"&amp;$B$3&amp;"'!"&amp;CHAR(64+COLUMN())&amp;(ROW()-4))</f>
        <v>501.15</v>
      </c>
      <c r="J13" s="43">
        <f t="array" aca="1" ref="J13" ca="1">INDIRECT("'"&amp;$B$3&amp;"'!"&amp;CHAR(64+COLUMN())&amp;(ROW()-4))</f>
        <v>491.6</v>
      </c>
      <c r="K13" s="43">
        <f t="array" aca="1" ref="K13" ca="1">INDIRECT("'"&amp;$B$3&amp;"'!"&amp;CHAR(64+COLUMN())&amp;(ROW()-4))</f>
        <v>78.052579721572386</v>
      </c>
      <c r="L13" s="43">
        <f t="array" aca="1" ref="L13" ca="1">INDIRECT("'"&amp;$B$3&amp;"'!"&amp;CHAR(64+COLUMN())&amp;(ROW()-4))</f>
        <v>68.355002576779839</v>
      </c>
      <c r="M13" s="43">
        <f t="array" aca="1" ref="M13" ca="1">INDIRECT("'"&amp;$B$3&amp;"'!"&amp;CHAR(64+COLUMN())&amp;(ROW()-4))</f>
        <v>89.76061413949472</v>
      </c>
      <c r="N13" s="43">
        <f t="array" aca="1" ref="N13" ca="1">INDIRECT("'"&amp;$B$3&amp;"'!"&amp;CHAR(64+COLUMN())&amp;(ROW()-4))</f>
        <v>83.340491997805088</v>
      </c>
      <c r="O13" s="43">
        <f t="array" aca="1" ref="O13" ca="1">INDIRECT("'"&amp;$B$3&amp;"'!"&amp;CHAR(64+COLUMN())&amp;(ROW()-4))</f>
        <v>4.6040227747116154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530</v>
      </c>
      <c r="D14" s="43">
        <f t="array" aca="1" ref="D14" ca="1">INDIRECT("'"&amp;$B$3&amp;"'!"&amp;CHAR(64+COLUMN())&amp;(ROW()-4))</f>
        <v>522</v>
      </c>
      <c r="E14" s="43">
        <f t="array" aca="1" ref="E14" ca="1">INDIRECT("'"&amp;$B$3&amp;"'!"&amp;CHAR(64+COLUMN())&amp;(ROW()-4))</f>
        <v>525</v>
      </c>
      <c r="F14" s="43">
        <f t="array" aca="1" ref="F14" ca="1">INDIRECT("'"&amp;$B$3&amp;"'!"&amp;CHAR(64+COLUMN())&amp;(ROW()-4))</f>
        <v>3760</v>
      </c>
      <c r="G14" s="43">
        <f t="array" aca="1" ref="G14" ca="1">INDIRECT("'"&amp;$B$3&amp;"'!"&amp;CHAR(64+COLUMN())&amp;(ROW()-4))</f>
        <v>0.19083969465648851</v>
      </c>
      <c r="H14" s="43">
        <f t="array" aca="1" ref="H14" ca="1">INDIRECT("'"&amp;$B$3&amp;"'!"&amp;CHAR(64+COLUMN())&amp;(ROW()-4))</f>
        <v>518.79999999999995</v>
      </c>
      <c r="I14" s="43">
        <f t="array" aca="1" ref="I14" ca="1">INDIRECT("'"&amp;$B$3&amp;"'!"&amp;CHAR(64+COLUMN())&amp;(ROW()-4))</f>
        <v>504.85</v>
      </c>
      <c r="J14" s="43">
        <f t="array" aca="1" ref="J14" ca="1">INDIRECT("'"&amp;$B$3&amp;"'!"&amp;CHAR(64+COLUMN())&amp;(ROW()-4))</f>
        <v>493.85</v>
      </c>
      <c r="K14" s="43">
        <f t="array" aca="1" ref="K14" ca="1">INDIRECT("'"&amp;$B$3&amp;"'!"&amp;CHAR(64+COLUMN())&amp;(ROW()-4))</f>
        <v>78.662864033267851</v>
      </c>
      <c r="L14" s="43">
        <f t="array" aca="1" ref="L14" ca="1">INDIRECT("'"&amp;$B$3&amp;"'!"&amp;CHAR(64+COLUMN())&amp;(ROW()-4))</f>
        <v>68.744883181791181</v>
      </c>
      <c r="M14" s="43">
        <f t="array" aca="1" ref="M14" ca="1">INDIRECT("'"&amp;$B$3&amp;"'!"&amp;CHAR(64+COLUMN())&amp;(ROW()-4))</f>
        <v>89.806739392659779</v>
      </c>
      <c r="N14" s="43">
        <f t="array" aca="1" ref="N14" ca="1">INDIRECT("'"&amp;$B$3&amp;"'!"&amp;CHAR(64+COLUMN())&amp;(ROW()-4))</f>
        <v>85.49590779608998</v>
      </c>
      <c r="O14" s="43">
        <f t="array" aca="1" ref="O14" ca="1">INDIRECT("'"&amp;$B$3&amp;"'!"&amp;CHAR(64+COLUMN())&amp;(ROW()-4))</f>
        <v>4.5073300469468496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540</v>
      </c>
      <c r="D15" s="43">
        <f t="array" aca="1" ref="D15" ca="1">INDIRECT("'"&amp;$B$3&amp;"'!"&amp;CHAR(64+COLUMN())&amp;(ROW()-4))</f>
        <v>530</v>
      </c>
      <c r="E15" s="43">
        <f t="array" aca="1" ref="E15" ca="1">INDIRECT("'"&amp;$B$3&amp;"'!"&amp;CHAR(64+COLUMN())&amp;(ROW()-4))</f>
        <v>540</v>
      </c>
      <c r="F15" s="43">
        <f t="array" aca="1" ref="F15" ca="1">INDIRECT("'"&amp;$B$3&amp;"'!"&amp;CHAR(64+COLUMN())&amp;(ROW()-4))</f>
        <v>5860</v>
      </c>
      <c r="G15" s="43">
        <f t="array" aca="1" ref="G15" ca="1">INDIRECT("'"&amp;$B$3&amp;"'!"&amp;CHAR(64+COLUMN())&amp;(ROW()-4))</f>
        <v>2.8571428571428572</v>
      </c>
      <c r="H15" s="43">
        <f t="array" aca="1" ref="H15" ca="1">INDIRECT("'"&amp;$B$3&amp;"'!"&amp;CHAR(64+COLUMN())&amp;(ROW()-4))</f>
        <v>524.4</v>
      </c>
      <c r="I15" s="43">
        <f t="array" aca="1" ref="I15" ca="1">INDIRECT("'"&amp;$B$3&amp;"'!"&amp;CHAR(64+COLUMN())&amp;(ROW()-4))</f>
        <v>511.05</v>
      </c>
      <c r="J15" s="43">
        <f t="array" aca="1" ref="J15" ca="1">INDIRECT("'"&amp;$B$3&amp;"'!"&amp;CHAR(64+COLUMN())&amp;(ROW()-4))</f>
        <v>496.85</v>
      </c>
      <c r="K15" s="43">
        <f t="array" aca="1" ref="K15" ca="1">INDIRECT("'"&amp;$B$3&amp;"'!"&amp;CHAR(64+COLUMN())&amp;(ROW()-4))</f>
        <v>85.780169989358555</v>
      </c>
      <c r="L15" s="43">
        <f t="array" aca="1" ref="L15" ca="1">INDIRECT("'"&amp;$B$3&amp;"'!"&amp;CHAR(64+COLUMN())&amp;(ROW()-4))</f>
        <v>73.988910345400996</v>
      </c>
      <c r="M15" s="43">
        <f t="array" aca="1" ref="M15" ca="1">INDIRECT("'"&amp;$B$3&amp;"'!"&amp;CHAR(64+COLUMN())&amp;(ROW()-4))</f>
        <v>93.204492928439848</v>
      </c>
      <c r="N15" s="43">
        <f t="array" aca="1" ref="N15" ca="1">INDIRECT("'"&amp;$B$3&amp;"'!"&amp;CHAR(64+COLUMN())&amp;(ROW()-4))</f>
        <v>88.065436173539922</v>
      </c>
      <c r="O15" s="43">
        <f t="array" aca="1" ref="O15" ca="1">INDIRECT("'"&amp;$B$3&amp;"'!"&amp;CHAR(64+COLUMN())&amp;(ROW()-4))</f>
        <v>5.1113087179076624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2  危險 2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538</v>
      </c>
      <c r="D16" s="43">
        <f t="array" aca="1" ref="D16" ca="1">INDIRECT("'"&amp;$B$3&amp;"'!"&amp;CHAR(64+COLUMN())&amp;(ROW()-4))</f>
        <v>528</v>
      </c>
      <c r="E16" s="43">
        <f t="array" aca="1" ref="E16" ca="1">INDIRECT("'"&amp;$B$3&amp;"'!"&amp;CHAR(64+COLUMN())&amp;(ROW()-4))</f>
        <v>531</v>
      </c>
      <c r="F16" s="43">
        <f t="array" aca="1" ref="F16" ca="1">INDIRECT("'"&amp;$B$3&amp;"'!"&amp;CHAR(64+COLUMN())&amp;(ROW()-4))</f>
        <v>3344</v>
      </c>
      <c r="G16" s="43">
        <f t="array" aca="1" ref="G16" ca="1">INDIRECT("'"&amp;$B$3&amp;"'!"&amp;CHAR(64+COLUMN())&amp;(ROW()-4))</f>
        <v>-1.666666666666667</v>
      </c>
      <c r="H16" s="43">
        <f t="array" aca="1" ref="H16" ca="1">INDIRECT("'"&amp;$B$3&amp;"'!"&amp;CHAR(64+COLUMN())&amp;(ROW()-4))</f>
        <v>529</v>
      </c>
      <c r="I16" s="43">
        <f t="array" aca="1" ref="I16" ca="1">INDIRECT("'"&amp;$B$3&amp;"'!"&amp;CHAR(64+COLUMN())&amp;(ROW()-4))</f>
        <v>515.70000000000005</v>
      </c>
      <c r="J16" s="43">
        <f t="array" aca="1" ref="J16" ca="1">INDIRECT("'"&amp;$B$3&amp;"'!"&amp;CHAR(64+COLUMN())&amp;(ROW()-4))</f>
        <v>499.3</v>
      </c>
      <c r="K16" s="43">
        <f t="array" aca="1" ref="K16" ca="1">INDIRECT("'"&amp;$B$3&amp;"'!"&amp;CHAR(64+COLUMN())&amp;(ROW()-4))</f>
        <v>69.168281938334488</v>
      </c>
      <c r="L16" s="43">
        <f t="array" aca="1" ref="L16" ca="1">INDIRECT("'"&amp;$B$3&amp;"'!"&amp;CHAR(64+COLUMN())&amp;(ROW()-4))</f>
        <v>66.667453845452286</v>
      </c>
      <c r="M16" s="43">
        <f t="array" aca="1" ref="M16" ca="1">INDIRECT("'"&amp;$B$3&amp;"'!"&amp;CHAR(64+COLUMN())&amp;(ROW()-4))</f>
        <v>89.40905589168716</v>
      </c>
      <c r="N16" s="43">
        <f t="array" aca="1" ref="N16" ca="1">INDIRECT("'"&amp;$B$3&amp;"'!"&amp;CHAR(64+COLUMN())&amp;(ROW()-4))</f>
        <v>88.513309412922325</v>
      </c>
      <c r="O16" s="43">
        <f t="array" aca="1" ref="O16" ca="1">INDIRECT("'"&amp;$B$3&amp;"'!"&amp;CHAR(64+COLUMN())&amp;(ROW()-4))</f>
        <v>4.5795194492662183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544</v>
      </c>
      <c r="D17" s="43">
        <f t="array" aca="1" ref="D17" ca="1">INDIRECT("'"&amp;$B$3&amp;"'!"&amp;CHAR(64+COLUMN())&amp;(ROW()-4))</f>
        <v>534</v>
      </c>
      <c r="E17" s="43">
        <f t="array" aca="1" ref="E17" ca="1">INDIRECT("'"&amp;$B$3&amp;"'!"&amp;CHAR(64+COLUMN())&amp;(ROW()-4))</f>
        <v>538</v>
      </c>
      <c r="F17" s="43">
        <f t="array" aca="1" ref="F17" ca="1">INDIRECT("'"&amp;$B$3&amp;"'!"&amp;CHAR(64+COLUMN())&amp;(ROW()-4))</f>
        <v>4706</v>
      </c>
      <c r="G17" s="43">
        <f t="array" aca="1" ref="G17" ca="1">INDIRECT("'"&amp;$B$3&amp;"'!"&amp;CHAR(64+COLUMN())&amp;(ROW()-4))</f>
        <v>1.318267419962335</v>
      </c>
      <c r="H17" s="43">
        <f t="array" aca="1" ref="H17" ca="1">INDIRECT("'"&amp;$B$3&amp;"'!"&amp;CHAR(64+COLUMN())&amp;(ROW()-4))</f>
        <v>531.6</v>
      </c>
      <c r="I17" s="43">
        <f t="array" aca="1" ref="I17" ca="1">INDIRECT("'"&amp;$B$3&amp;"'!"&amp;CHAR(64+COLUMN())&amp;(ROW()-4))</f>
        <v>520.70000000000005</v>
      </c>
      <c r="J17" s="43">
        <f t="array" aca="1" ref="J17" ca="1">INDIRECT("'"&amp;$B$3&amp;"'!"&amp;CHAR(64+COLUMN())&amp;(ROW()-4))</f>
        <v>502.375</v>
      </c>
      <c r="K17" s="43">
        <f t="array" aca="1" ref="K17" ca="1">INDIRECT("'"&amp;$B$3&amp;"'!"&amp;CHAR(64+COLUMN())&amp;(ROW()-4))</f>
        <v>73.88793511785137</v>
      </c>
      <c r="L17" s="43">
        <f t="array" aca="1" ref="L17" ca="1">INDIRECT("'"&amp;$B$3&amp;"'!"&amp;CHAR(64+COLUMN())&amp;(ROW()-4))</f>
        <v>69.249297765617868</v>
      </c>
      <c r="M17" s="43">
        <f t="array" aca="1" ref="M17" ca="1">INDIRECT("'"&amp;$B$3&amp;"'!"&amp;CHAR(64+COLUMN())&amp;(ROW()-4))</f>
        <v>88.39391604900355</v>
      </c>
      <c r="N17" s="43">
        <f t="array" aca="1" ref="N17" ca="1">INDIRECT("'"&amp;$B$3&amp;"'!"&amp;CHAR(64+COLUMN())&amp;(ROW()-4))</f>
        <v>88.473511624949396</v>
      </c>
      <c r="O17" s="43">
        <f t="array" aca="1" ref="O17" ca="1">INDIRECT("'"&amp;$B$3&amp;"'!"&amp;CHAR(64+COLUMN())&amp;(ROW()-4))</f>
        <v>4.3743750816819471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560</v>
      </c>
      <c r="D18" s="43">
        <f t="array" aca="1" ref="D18" ca="1">INDIRECT("'"&amp;$B$3&amp;"'!"&amp;CHAR(64+COLUMN())&amp;(ROW()-4))</f>
        <v>538</v>
      </c>
      <c r="E18" s="43">
        <f t="array" aca="1" ref="E18" ca="1">INDIRECT("'"&amp;$B$3&amp;"'!"&amp;CHAR(64+COLUMN())&amp;(ROW()-4))</f>
        <v>551</v>
      </c>
      <c r="F18" s="43">
        <f t="array" aca="1" ref="F18" ca="1">INDIRECT("'"&amp;$B$3&amp;"'!"&amp;CHAR(64+COLUMN())&amp;(ROW()-4))</f>
        <v>4524</v>
      </c>
      <c r="G18" s="43">
        <f t="array" aca="1" ref="G18" ca="1">INDIRECT("'"&amp;$B$3&amp;"'!"&amp;CHAR(64+COLUMN())&amp;(ROW()-4))</f>
        <v>2.4163568773234201</v>
      </c>
      <c r="H18" s="43">
        <f t="array" aca="1" ref="H18" ca="1">INDIRECT("'"&amp;$B$3&amp;"'!"&amp;CHAR(64+COLUMN())&amp;(ROW()-4))</f>
        <v>537</v>
      </c>
      <c r="I18" s="43">
        <f t="array" aca="1" ref="I18" ca="1">INDIRECT("'"&amp;$B$3&amp;"'!"&amp;CHAR(64+COLUMN())&amp;(ROW()-4))</f>
        <v>525.9</v>
      </c>
      <c r="J18" s="43">
        <f t="array" aca="1" ref="J18" ca="1">INDIRECT("'"&amp;$B$3&amp;"'!"&amp;CHAR(64+COLUMN())&amp;(ROW()-4))</f>
        <v>505.95</v>
      </c>
      <c r="K18" s="43">
        <f t="array" aca="1" ref="K18" ca="1">INDIRECT("'"&amp;$B$3&amp;"'!"&amp;CHAR(64+COLUMN())&amp;(ROW()-4))</f>
        <v>80.530020027613972</v>
      </c>
      <c r="L18" s="43">
        <f t="array" aca="1" ref="L18" ca="1">INDIRECT("'"&amp;$B$3&amp;"'!"&amp;CHAR(64+COLUMN())&amp;(ROW()-4))</f>
        <v>73.420341679562299</v>
      </c>
      <c r="M18" s="43">
        <f t="array" aca="1" ref="M18" ca="1">INDIRECT("'"&amp;$B$3&amp;"'!"&amp;CHAR(64+COLUMN())&amp;(ROW()-4))</f>
        <v>87.262610699335696</v>
      </c>
      <c r="N18" s="43">
        <f t="array" aca="1" ref="N18" ca="1">INDIRECT("'"&amp;$B$3&amp;"'!"&amp;CHAR(64+COLUMN())&amp;(ROW()-4))</f>
        <v>88.069877983078158</v>
      </c>
      <c r="O18" s="43">
        <f t="array" aca="1" ref="O18" ca="1">INDIRECT("'"&amp;$B$3&amp;"'!"&amp;CHAR(64+COLUMN())&amp;(ROW()-4))</f>
        <v>4.7576553139005782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567</v>
      </c>
      <c r="D19" s="43">
        <f t="array" aca="1" ref="D19" ca="1">INDIRECT("'"&amp;$B$3&amp;"'!"&amp;CHAR(64+COLUMN())&amp;(ROW()-4))</f>
        <v>549</v>
      </c>
      <c r="E19" s="43">
        <f t="array" aca="1" ref="E19" ca="1">INDIRECT("'"&amp;$B$3&amp;"'!"&amp;CHAR(64+COLUMN())&amp;(ROW()-4))</f>
        <v>567</v>
      </c>
      <c r="F19" s="43">
        <f t="array" aca="1" ref="F19" ca="1">INDIRECT("'"&amp;$B$3&amp;"'!"&amp;CHAR(64+COLUMN())&amp;(ROW()-4))</f>
        <v>4284</v>
      </c>
      <c r="G19" s="43">
        <f t="array" aca="1" ref="G19" ca="1">INDIRECT("'"&amp;$B$3&amp;"'!"&amp;CHAR(64+COLUMN())&amp;(ROW()-4))</f>
        <v>2.903811252268603</v>
      </c>
      <c r="H19" s="43">
        <f t="array" aca="1" ref="H19" ca="1">INDIRECT("'"&amp;$B$3&amp;"'!"&amp;CHAR(64+COLUMN())&amp;(ROW()-4))</f>
        <v>545.4</v>
      </c>
      <c r="I19" s="43">
        <f t="array" aca="1" ref="I19" ca="1">INDIRECT("'"&amp;$B$3&amp;"'!"&amp;CHAR(64+COLUMN())&amp;(ROW()-4))</f>
        <v>532.1</v>
      </c>
      <c r="J19" s="43">
        <f t="array" aca="1" ref="J19" ca="1">INDIRECT("'"&amp;$B$3&amp;"'!"&amp;CHAR(64+COLUMN())&amp;(ROW()-4))</f>
        <v>510.82499999999999</v>
      </c>
      <c r="K19" s="43">
        <f t="array" aca="1" ref="K19" ca="1">INDIRECT("'"&amp;$B$3&amp;"'!"&amp;CHAR(64+COLUMN())&amp;(ROW()-4))</f>
        <v>85.847040631223408</v>
      </c>
      <c r="L19" s="43">
        <f t="array" aca="1" ref="L19" ca="1">INDIRECT("'"&amp;$B$3&amp;"'!"&amp;CHAR(64+COLUMN())&amp;(ROW()-4))</f>
        <v>77.515240394908446</v>
      </c>
      <c r="M19" s="43">
        <f t="array" aca="1" ref="M19" ca="1">INDIRECT("'"&amp;$B$3&amp;"'!"&amp;CHAR(64+COLUMN())&amp;(ROW()-4))</f>
        <v>91.508407132890454</v>
      </c>
      <c r="N19" s="43">
        <f t="array" aca="1" ref="N19" ca="1">INDIRECT("'"&amp;$B$3&amp;"'!"&amp;CHAR(64+COLUMN())&amp;(ROW()-4))</f>
        <v>89.216054366348914</v>
      </c>
      <c r="O19" s="43">
        <f t="array" aca="1" ref="O19" ca="1">INDIRECT("'"&amp;$B$3&amp;"'!"&amp;CHAR(64+COLUMN())&amp;(ROW()-4))</f>
        <v>5.6702658351012083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575</v>
      </c>
      <c r="D20" s="43">
        <f t="array" aca="1" ref="D20" ca="1">INDIRECT("'"&amp;$B$3&amp;"'!"&amp;CHAR(64+COLUMN())&amp;(ROW()-4))</f>
        <v>535</v>
      </c>
      <c r="E20" s="43">
        <f t="array" aca="1" ref="E20" ca="1">INDIRECT("'"&amp;$B$3&amp;"'!"&amp;CHAR(64+COLUMN())&amp;(ROW()-4))</f>
        <v>542</v>
      </c>
      <c r="F20" s="43">
        <f t="array" aca="1" ref="F20" ca="1">INDIRECT("'"&amp;$B$3&amp;"'!"&amp;CHAR(64+COLUMN())&amp;(ROW()-4))</f>
        <v>6629</v>
      </c>
      <c r="G20" s="43">
        <f t="array" aca="1" ref="G20" ca="1">INDIRECT("'"&amp;$B$3&amp;"'!"&amp;CHAR(64+COLUMN())&amp;(ROW()-4))</f>
        <v>-4.409171075837742</v>
      </c>
      <c r="H20" s="43">
        <f t="array" aca="1" ref="H20" ca="1">INDIRECT("'"&amp;$B$3&amp;"'!"&amp;CHAR(64+COLUMN())&amp;(ROW()-4))</f>
        <v>545.79999999999995</v>
      </c>
      <c r="I20" s="43">
        <f t="array" aca="1" ref="I20" ca="1">INDIRECT("'"&amp;$B$3&amp;"'!"&amp;CHAR(64+COLUMN())&amp;(ROW()-4))</f>
        <v>535.1</v>
      </c>
      <c r="J20" s="43">
        <f t="array" aca="1" ref="J20" ca="1">INDIRECT("'"&amp;$B$3&amp;"'!"&amp;CHAR(64+COLUMN())&amp;(ROW()-4))</f>
        <v>513.9</v>
      </c>
      <c r="K20" s="43">
        <f t="array" aca="1" ref="K20" ca="1">INDIRECT("'"&amp;$B$3&amp;"'!"&amp;CHAR(64+COLUMN())&amp;(ROW()-4))</f>
        <v>56.775631463506073</v>
      </c>
      <c r="L20" s="43">
        <f t="array" aca="1" ref="L20" ca="1">INDIRECT("'"&amp;$B$3&amp;"'!"&amp;CHAR(64+COLUMN())&amp;(ROW()-4))</f>
        <v>61.393122877826961</v>
      </c>
      <c r="M20" s="43">
        <f t="array" aca="1" ref="M20" ca="1">INDIRECT("'"&amp;$B$3&amp;"'!"&amp;CHAR(64+COLUMN())&amp;(ROW()-4))</f>
        <v>79.672271421926965</v>
      </c>
      <c r="N20" s="43">
        <f t="array" aca="1" ref="N20" ca="1">INDIRECT("'"&amp;$B$3&amp;"'!"&amp;CHAR(64+COLUMN())&amp;(ROW()-4))</f>
        <v>86.034793384874916</v>
      </c>
      <c r="O20" s="43">
        <f t="array" aca="1" ref="O20" ca="1">INDIRECT("'"&amp;$B$3&amp;"'!"&amp;CHAR(64+COLUMN())&amp;(ROW()-4))</f>
        <v>4.2373618757260516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544</v>
      </c>
      <c r="D21" s="43">
        <f t="array" aca="1" ref="D21" ca="1">INDIRECT("'"&amp;$B$3&amp;"'!"&amp;CHAR(64+COLUMN())&amp;(ROW()-4))</f>
        <v>530</v>
      </c>
      <c r="E21" s="43">
        <f t="array" aca="1" ref="E21" ca="1">INDIRECT("'"&amp;$B$3&amp;"'!"&amp;CHAR(64+COLUMN())&amp;(ROW()-4))</f>
        <v>539</v>
      </c>
      <c r="F21" s="43">
        <f t="array" aca="1" ref="F21" ca="1">INDIRECT("'"&amp;$B$3&amp;"'!"&amp;CHAR(64+COLUMN())&amp;(ROW()-4))</f>
        <v>3724</v>
      </c>
      <c r="G21" s="43">
        <f t="array" aca="1" ref="G21" ca="1">INDIRECT("'"&amp;$B$3&amp;"'!"&amp;CHAR(64+COLUMN())&amp;(ROW()-4))</f>
        <v>-0.55350553505535049</v>
      </c>
      <c r="H21" s="43">
        <f t="array" aca="1" ref="H21" ca="1">INDIRECT("'"&amp;$B$3&amp;"'!"&amp;CHAR(64+COLUMN())&amp;(ROW()-4))</f>
        <v>547.4</v>
      </c>
      <c r="I21" s="43">
        <f t="array" aca="1" ref="I21" ca="1">INDIRECT("'"&amp;$B$3&amp;"'!"&amp;CHAR(64+COLUMN())&amp;(ROW()-4))</f>
        <v>538.20000000000005</v>
      </c>
      <c r="J21" s="43">
        <f t="array" aca="1" ref="J21" ca="1">INDIRECT("'"&amp;$B$3&amp;"'!"&amp;CHAR(64+COLUMN())&amp;(ROW()-4))</f>
        <v>516.4</v>
      </c>
      <c r="K21" s="43">
        <f t="array" aca="1" ref="K21" ca="1">INDIRECT("'"&amp;$B$3&amp;"'!"&amp;CHAR(64+COLUMN())&amp;(ROW()-4))</f>
        <v>54.135732735999291</v>
      </c>
      <c r="L21" s="43">
        <f t="array" aca="1" ref="L21" ca="1">INDIRECT("'"&amp;$B$3&amp;"'!"&amp;CHAR(64+COLUMN())&amp;(ROW()-4))</f>
        <v>59.765859098312433</v>
      </c>
      <c r="M21" s="43">
        <f t="array" aca="1" ref="M21" ca="1">INDIRECT("'"&amp;$B$3&amp;"'!"&amp;CHAR(64+COLUMN())&amp;(ROW()-4))</f>
        <v>66.77604980041032</v>
      </c>
      <c r="N21" s="43">
        <f t="array" aca="1" ref="N21" ca="1">INDIRECT("'"&amp;$B$3&amp;"'!"&amp;CHAR(64+COLUMN())&amp;(ROW()-4))</f>
        <v>79.61521219005337</v>
      </c>
      <c r="O21" s="43">
        <f t="array" aca="1" ref="O21" ca="1">INDIRECT("'"&amp;$B$3&amp;"'!"&amp;CHAR(64+COLUMN())&amp;(ROW()-4))</f>
        <v>2.803780872548042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558</v>
      </c>
      <c r="D22" s="43">
        <f t="array" aca="1" ref="D22" ca="1">INDIRECT("'"&amp;$B$3&amp;"'!"&amp;CHAR(64+COLUMN())&amp;(ROW()-4))</f>
        <v>537</v>
      </c>
      <c r="E22" s="43">
        <f t="array" aca="1" ref="E22" ca="1">INDIRECT("'"&amp;$B$3&amp;"'!"&amp;CHAR(64+COLUMN())&amp;(ROW()-4))</f>
        <v>555</v>
      </c>
      <c r="F22" s="43">
        <f t="array" aca="1" ref="F22" ca="1">INDIRECT("'"&amp;$B$3&amp;"'!"&amp;CHAR(64+COLUMN())&amp;(ROW()-4))</f>
        <v>3030</v>
      </c>
      <c r="G22" s="43">
        <f t="array" aca="1" ref="G22" ca="1">INDIRECT("'"&amp;$B$3&amp;"'!"&amp;CHAR(64+COLUMN())&amp;(ROW()-4))</f>
        <v>2.968460111317254</v>
      </c>
      <c r="H22" s="43">
        <f t="array" aca="1" ref="H22" ca="1">INDIRECT("'"&amp;$B$3&amp;"'!"&amp;CHAR(64+COLUMN())&amp;(ROW()-4))</f>
        <v>550.79999999999995</v>
      </c>
      <c r="I22" s="43">
        <f t="array" aca="1" ref="I22" ca="1">INDIRECT("'"&amp;$B$3&amp;"'!"&amp;CHAR(64+COLUMN())&amp;(ROW()-4))</f>
        <v>541.20000000000005</v>
      </c>
      <c r="J22" s="43">
        <f t="array" aca="1" ref="J22" ca="1">INDIRECT("'"&amp;$B$3&amp;"'!"&amp;CHAR(64+COLUMN())&amp;(ROW()-4))</f>
        <v>519.70000000000005</v>
      </c>
      <c r="K22" s="43">
        <f t="array" aca="1" ref="K22" ca="1">INDIRECT("'"&amp;$B$3&amp;"'!"&amp;CHAR(64+COLUMN())&amp;(ROW()-4))</f>
        <v>64.654024987967603</v>
      </c>
      <c r="L22" s="43">
        <f t="array" aca="1" ref="L22" ca="1">INDIRECT("'"&amp;$B$3&amp;"'!"&amp;CHAR(64+COLUMN())&amp;(ROW()-4))</f>
        <v>65.141542540046061</v>
      </c>
      <c r="M22" s="43">
        <f t="array" aca="1" ref="M22" ca="1">INDIRECT("'"&amp;$B$3&amp;"'!"&amp;CHAR(64+COLUMN())&amp;(ROW()-4))</f>
        <v>65.272083514738952</v>
      </c>
      <c r="N22" s="43">
        <f t="array" aca="1" ref="N22" ca="1">INDIRECT("'"&amp;$B$3&amp;"'!"&amp;CHAR(64+COLUMN())&amp;(ROW()-4))</f>
        <v>74.834169298281893</v>
      </c>
      <c r="O22" s="43">
        <f t="array" aca="1" ref="O22" ca="1">INDIRECT("'"&amp;$B$3&amp;"'!"&amp;CHAR(64+COLUMN())&amp;(ROW()-4))</f>
        <v>2.6510714252784129</v>
      </c>
      <c r="Q22" s="82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564</v>
      </c>
      <c r="D23" s="43">
        <f t="array" aca="1" ref="D23" ca="1">INDIRECT("'"&amp;$B$3&amp;"'!"&amp;CHAR(64+COLUMN())&amp;(ROW()-4))</f>
        <v>554</v>
      </c>
      <c r="E23" s="43">
        <f t="array" aca="1" ref="E23" ca="1">INDIRECT("'"&amp;$B$3&amp;"'!"&amp;CHAR(64+COLUMN())&amp;(ROW()-4))</f>
        <v>561</v>
      </c>
      <c r="F23" s="43">
        <f t="array" aca="1" ref="F23" ca="1">INDIRECT("'"&amp;$B$3&amp;"'!"&amp;CHAR(64+COLUMN())&amp;(ROW()-4))</f>
        <v>2444</v>
      </c>
      <c r="G23" s="43">
        <f t="array" aca="1" ref="G23" ca="1">INDIRECT("'"&amp;$B$3&amp;"'!"&amp;CHAR(64+COLUMN())&amp;(ROW()-4))</f>
        <v>1.0810810810810809</v>
      </c>
      <c r="H23" s="43">
        <f t="array" aca="1" ref="H23" ca="1">INDIRECT("'"&amp;$B$3&amp;"'!"&amp;CHAR(64+COLUMN())&amp;(ROW()-4))</f>
        <v>552.79999999999995</v>
      </c>
      <c r="I23" s="43">
        <f t="array" aca="1" ref="I23" ca="1">INDIRECT("'"&amp;$B$3&amp;"'!"&amp;CHAR(64+COLUMN())&amp;(ROW()-4))</f>
        <v>544.9</v>
      </c>
      <c r="J23" s="43">
        <f t="array" aca="1" ref="J23" ca="1">INDIRECT("'"&amp;$B$3&amp;"'!"&amp;CHAR(64+COLUMN())&amp;(ROW()-4))</f>
        <v>523.02499999999998</v>
      </c>
      <c r="K23" s="43">
        <f t="array" aca="1" ref="K23" ca="1">INDIRECT("'"&amp;$B$3&amp;"'!"&amp;CHAR(64+COLUMN())&amp;(ROW()-4))</f>
        <v>67.960526037246126</v>
      </c>
      <c r="L23" s="43">
        <f t="array" aca="1" ref="L23" ca="1">INDIRECT("'"&amp;$B$3&amp;"'!"&amp;CHAR(64+COLUMN())&amp;(ROW()-4))</f>
        <v>66.948113541399692</v>
      </c>
      <c r="M23" s="43">
        <f t="array" aca="1" ref="M23" ca="1">INDIRECT("'"&amp;$B$3&amp;"'!"&amp;CHAR(64+COLUMN())&amp;(ROW()-4))</f>
        <v>66.918977662308237</v>
      </c>
      <c r="N23" s="43">
        <f t="array" aca="1" ref="N23" ca="1">INDIRECT("'"&amp;$B$3&amp;"'!"&amp;CHAR(64+COLUMN())&amp;(ROW()-4))</f>
        <v>72.195772086290674</v>
      </c>
      <c r="O23" s="43">
        <f t="array" aca="1" ref="O23" ca="1">INDIRECT("'"&amp;$B$3&amp;"'!"&amp;CHAR(64+COLUMN())&amp;(ROW()-4))</f>
        <v>2.664973770001275</v>
      </c>
      <c r="Q23" s="66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561</v>
      </c>
      <c r="D24" s="43">
        <f t="array" aca="1" ref="D24" ca="1">INDIRECT("'"&amp;$B$3&amp;"'!"&amp;CHAR(64+COLUMN())&amp;(ROW()-4))</f>
        <v>541</v>
      </c>
      <c r="E24" s="43">
        <f t="array" aca="1" ref="E24" ca="1">INDIRECT("'"&amp;$B$3&amp;"'!"&amp;CHAR(64+COLUMN())&amp;(ROW()-4))</f>
        <v>551</v>
      </c>
      <c r="F24" s="43">
        <f t="array" aca="1" ref="F24" ca="1">INDIRECT("'"&amp;$B$3&amp;"'!"&amp;CHAR(64+COLUMN())&amp;(ROW()-4))</f>
        <v>2689</v>
      </c>
      <c r="G24" s="43">
        <f t="array" aca="1" ref="G24" ca="1">INDIRECT("'"&amp;$B$3&amp;"'!"&amp;CHAR(64+COLUMN())&amp;(ROW()-4))</f>
        <v>-1.7825311942958999</v>
      </c>
      <c r="H24" s="43">
        <f t="array" aca="1" ref="H24" ca="1">INDIRECT("'"&amp;$B$3&amp;"'!"&amp;CHAR(64+COLUMN())&amp;(ROW()-4))</f>
        <v>549.6</v>
      </c>
      <c r="I24" s="43">
        <f t="array" aca="1" ref="I24" ca="1">INDIRECT("'"&amp;$B$3&amp;"'!"&amp;CHAR(64+COLUMN())&amp;(ROW()-4))</f>
        <v>547.5</v>
      </c>
      <c r="J24" s="43">
        <f t="array" aca="1" ref="J24" ca="1">INDIRECT("'"&amp;$B$3&amp;"'!"&amp;CHAR(64+COLUMN())&amp;(ROW()-4))</f>
        <v>526.17499999999995</v>
      </c>
      <c r="K24" s="43">
        <f t="array" aca="1" ref="K24" ca="1">INDIRECT("'"&amp;$B$3&amp;"'!"&amp;CHAR(64+COLUMN())&amp;(ROW()-4))</f>
        <v>57.24951418109854</v>
      </c>
      <c r="L24" s="43">
        <f t="array" aca="1" ref="L24" ca="1">INDIRECT("'"&amp;$B$3&amp;"'!"&amp;CHAR(64+COLUMN())&amp;(ROW()-4))</f>
        <v>61.182914067611463</v>
      </c>
      <c r="M24" s="43">
        <f t="array" aca="1" ref="M24" ca="1">INDIRECT("'"&amp;$B$3&amp;"'!"&amp;CHAR(64+COLUMN())&amp;(ROW()-4))</f>
        <v>60.924708512460811</v>
      </c>
      <c r="N24" s="43">
        <f t="array" aca="1" ref="N24" ca="1">INDIRECT("'"&amp;$B$3&amp;"'!"&amp;CHAR(64+COLUMN())&amp;(ROW()-4))</f>
        <v>68.438750895014053</v>
      </c>
      <c r="O24" s="43">
        <f t="array" aca="1" ref="O24" ca="1">INDIRECT("'"&amp;$B$3&amp;"'!"&amp;CHAR(64+COLUMN())&amp;(ROW()-4))</f>
        <v>1.75541973888217</v>
      </c>
      <c r="Q24" s="84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556</v>
      </c>
      <c r="D25" s="43">
        <f t="array" aca="1" ref="D25" ca="1">INDIRECT("'"&amp;$B$3&amp;"'!"&amp;CHAR(64+COLUMN())&amp;(ROW()-4))</f>
        <v>535</v>
      </c>
      <c r="E25" s="43">
        <f t="array" aca="1" ref="E25" ca="1">INDIRECT("'"&amp;$B$3&amp;"'!"&amp;CHAR(64+COLUMN())&amp;(ROW()-4))</f>
        <v>537</v>
      </c>
      <c r="F25" s="43">
        <f t="array" aca="1" ref="F25" ca="1">INDIRECT("'"&amp;$B$3&amp;"'!"&amp;CHAR(64+COLUMN())&amp;(ROW()-4))</f>
        <v>2851</v>
      </c>
      <c r="G25" s="43">
        <f t="array" aca="1" ref="G25" ca="1">INDIRECT("'"&amp;$B$3&amp;"'!"&amp;CHAR(64+COLUMN())&amp;(ROW()-4))</f>
        <v>-2.5408348457350272</v>
      </c>
      <c r="H25" s="43">
        <f t="array" aca="1" ref="H25" ca="1">INDIRECT("'"&amp;$B$3&amp;"'!"&amp;CHAR(64+COLUMN())&amp;(ROW()-4))</f>
        <v>548.6</v>
      </c>
      <c r="I25" s="43">
        <f t="array" aca="1" ref="I25" ca="1">INDIRECT("'"&amp;$B$3&amp;"'!"&amp;CHAR(64+COLUMN())&amp;(ROW()-4))</f>
        <v>547.20000000000005</v>
      </c>
      <c r="J25" s="43">
        <f t="array" aca="1" ref="J25" ca="1">INDIRECT("'"&amp;$B$3&amp;"'!"&amp;CHAR(64+COLUMN())&amp;(ROW()-4))</f>
        <v>529.125</v>
      </c>
      <c r="K25" s="43">
        <f t="array" aca="1" ref="K25" ca="1">INDIRECT("'"&amp;$B$3&amp;"'!"&amp;CHAR(64+COLUMN())&amp;(ROW()-4))</f>
        <v>45.26445144854187</v>
      </c>
      <c r="L25" s="43">
        <f t="array" aca="1" ref="L25" ca="1">INDIRECT("'"&amp;$B$3&amp;"'!"&amp;CHAR(64+COLUMN())&amp;(ROW()-4))</f>
        <v>54.071427036445137</v>
      </c>
      <c r="M25" s="43">
        <f t="array" aca="1" ref="M25" ca="1">INDIRECT("'"&amp;$B$3&amp;"'!"&amp;CHAR(64+COLUMN())&amp;(ROW()-4))</f>
        <v>45.801657526825721</v>
      </c>
      <c r="N25" s="43">
        <f t="array" aca="1" ref="N25" ca="1">INDIRECT("'"&amp;$B$3&amp;"'!"&amp;CHAR(64+COLUMN())&amp;(ROW()-4))</f>
        <v>60.893053105617938</v>
      </c>
      <c r="O25" s="43">
        <f t="array" aca="1" ref="O25" ca="1">INDIRECT("'"&amp;$B$3&amp;"'!"&amp;CHAR(64+COLUMN())&amp;(ROW()-4))</f>
        <v>5.5469855045760852E-2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目前燈號為「🔴 觀望」，建議等待、不推薦進出場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525.6</v>
      </c>
      <c r="S27" s="69">
        <f ca="1">ROUND((E25*(1-N32)-E25)/E25,4)</f>
        <v>-2.12E-2</v>
      </c>
      <c r="T27" s="70" t="str">
        <f ca="1">"再跌 "&amp;TEXT(ABS((E25*(1-N32)-E25)/E25),"0.0%")&amp;" 至 "&amp;TEXT(E25*(1-N32),"0.0")&amp;" 進入積極買進區"</f>
        <v>再跌 2.1% 至 525.6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575</v>
      </c>
      <c r="Q28" s="71" t="s">
        <v>129</v>
      </c>
      <c r="R28" s="72">
        <f ca="1">ROUND(MAX(H25,E25*(1+N32)),1)</f>
        <v>548.6</v>
      </c>
      <c r="S28" s="73">
        <f ca="1">ROUND((MAX(H25,E25*(1+N32))-E25)/E25,4)</f>
        <v>2.1600000000000001E-2</v>
      </c>
      <c r="T28" s="74" t="str">
        <f ca="1">"再漲 "&amp;TEXT(ABS((MAX(H25,E25*(1+N32))-E25)/E25),"0.0%")&amp;" 至 "&amp;TEXT(MAX(H25,E25*(1+N32)),"0.0")&amp;" 進入反彈賣出區"</f>
        <v>再漲 2.2% 至 548.6 進入反彈賣出區</v>
      </c>
    </row>
    <row r="29" spans="1:20" x14ac:dyDescent="0.2">
      <c r="A29" s="1" t="s">
        <v>130</v>
      </c>
      <c r="B29" s="8">
        <v>9.2799999999999994</v>
      </c>
      <c r="C29" s="8">
        <v>7.62</v>
      </c>
      <c r="D29" s="8">
        <v>6.69</v>
      </c>
      <c r="E29" s="8">
        <v>5.17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480.5</v>
      </c>
    </row>
    <row r="30" spans="1:20" ht="16" customHeight="1" x14ac:dyDescent="0.2">
      <c r="A30" s="1" t="s">
        <v>132</v>
      </c>
      <c r="B30" s="107">
        <v>28.76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529.125</v>
      </c>
    </row>
    <row r="31" spans="1:20" x14ac:dyDescent="0.2">
      <c r="A31" s="9" t="s">
        <v>134</v>
      </c>
      <c r="B31" t="s">
        <v>95</v>
      </c>
      <c r="C31" s="10">
        <v>-0.17887931034482751</v>
      </c>
      <c r="D31" s="10">
        <v>-0.12204724409448819</v>
      </c>
      <c r="E31" s="10">
        <v>-0.227204783258595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0.10835913312693499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2.1227698812841266E-2</v>
      </c>
    </row>
    <row r="33" spans="1:14" ht="17" customHeight="1" x14ac:dyDescent="0.2">
      <c r="A33" s="108" t="s">
        <v>165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537</v>
      </c>
    </row>
    <row r="34" spans="1:14" x14ac:dyDescent="0.2">
      <c r="A34" t="s">
        <v>141</v>
      </c>
      <c r="B34" s="26">
        <v>25.5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101.26</v>
      </c>
      <c r="G35" t="s">
        <v>146</v>
      </c>
      <c r="H35" s="27">
        <f>B36*B30</f>
        <v>345.12</v>
      </c>
      <c r="I35" s="27">
        <f>C36*B30</f>
        <v>517.68000000000006</v>
      </c>
      <c r="J35" s="27">
        <f>D36*B30</f>
        <v>719</v>
      </c>
    </row>
    <row r="36" spans="1:14" ht="17" customHeight="1" x14ac:dyDescent="0.2">
      <c r="A36" t="s">
        <v>147</v>
      </c>
      <c r="B36" s="26">
        <v>12</v>
      </c>
      <c r="C36" s="26">
        <v>18</v>
      </c>
      <c r="D36" s="26">
        <v>25</v>
      </c>
      <c r="G36" t="s">
        <v>148</v>
      </c>
      <c r="H36" s="27">
        <f>B37*B35</f>
        <v>253.15</v>
      </c>
      <c r="I36" s="27">
        <f>C37*B35</f>
        <v>379.72500000000002</v>
      </c>
      <c r="J36" s="27">
        <f>D37*B35</f>
        <v>556.93000000000006</v>
      </c>
    </row>
    <row r="37" spans="1:14" ht="17" customHeight="1" x14ac:dyDescent="0.2">
      <c r="A37" t="s">
        <v>149</v>
      </c>
      <c r="B37" s="26">
        <v>2.5</v>
      </c>
      <c r="C37" s="26">
        <v>3.75</v>
      </c>
      <c r="D37" s="26">
        <v>5.5</v>
      </c>
      <c r="G37" t="s">
        <v>150</v>
      </c>
      <c r="H37" s="27">
        <f>B34/B38</f>
        <v>318.75</v>
      </c>
      <c r="I37" s="27">
        <f>B34/C38</f>
        <v>425</v>
      </c>
      <c r="J37" s="27">
        <f>B34/D38</f>
        <v>566.66666666666674</v>
      </c>
    </row>
    <row r="38" spans="1:14" ht="17" customHeight="1" x14ac:dyDescent="0.25">
      <c r="A38" s="40" t="s">
        <v>151</v>
      </c>
      <c r="B38" s="37">
        <v>0.08</v>
      </c>
      <c r="C38" s="37">
        <v>0.06</v>
      </c>
      <c r="D38" s="37">
        <v>4.4999999999999998E-2</v>
      </c>
      <c r="G38" s="29" t="s">
        <v>152</v>
      </c>
      <c r="H38" s="38">
        <f>AVERAGE(H35,H36,H37)</f>
        <v>305.67333333333335</v>
      </c>
      <c r="I38" s="38">
        <f>AVERAGE(I35,I36,I37)</f>
        <v>440.80166666666673</v>
      </c>
      <c r="J38" s="39">
        <f>AVERAGE(J35,J36,J37)</f>
        <v>614.19888888888897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7" priority="1" operator="lessThan">
      <formula>0</formula>
    </cfRule>
  </conditionalFormatting>
  <conditionalFormatting sqref="O6:O25">
    <cfRule type="cellIs" dxfId="16" priority="2" operator="lessThan">
      <formula>0</formula>
    </cfRule>
  </conditionalFormatting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9"/>
  <sheetViews>
    <sheetView workbookViewId="0">
      <pane ySplit="5" topLeftCell="A6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8.33203125" bestFit="1" customWidth="1"/>
    <col min="6" max="6" width="10.33203125" bestFit="1" customWidth="1"/>
    <col min="7" max="7" width="10" bestFit="1" customWidth="1"/>
    <col min="8" max="9" width="7.5" bestFit="1" customWidth="1"/>
    <col min="10" max="10" width="6.8320312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8320312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166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167</v>
      </c>
    </row>
    <row r="3" spans="1:20" x14ac:dyDescent="0.2">
      <c r="A3" s="1" t="s">
        <v>2</v>
      </c>
      <c r="B3" s="2">
        <v>5388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77.599999999999994</v>
      </c>
      <c r="D6" s="43">
        <f t="array" aca="1" ref="D6" ca="1">INDIRECT("'"&amp;$B$3&amp;"'!"&amp;CHAR(64+COLUMN())&amp;(ROW()-4))</f>
        <v>75.900000000000006</v>
      </c>
      <c r="E6" s="43">
        <f t="array" aca="1" ref="E6" ca="1">INDIRECT("'"&amp;$B$3&amp;"'!"&amp;CHAR(64+COLUMN())&amp;(ROW()-4))</f>
        <v>76.599999999999994</v>
      </c>
      <c r="F6" s="43">
        <f t="array" aca="1" ref="F6" ca="1">INDIRECT("'"&amp;$B$3&amp;"'!"&amp;CHAR(64+COLUMN())&amp;(ROW()-4))</f>
        <v>3194</v>
      </c>
      <c r="G6" s="43">
        <f t="array" aca="1" ref="G6" ca="1">INDIRECT("'"&amp;$B$3&amp;"'!"&amp;CHAR(64+COLUMN())&amp;(ROW()-4))</f>
        <v>2.1333333333333262</v>
      </c>
      <c r="H6" s="43">
        <f t="array" aca="1" ref="H6" ca="1">INDIRECT("'"&amp;$B$3&amp;"'!"&amp;CHAR(64+COLUMN())&amp;(ROW()-4))</f>
        <v>76.259999999999991</v>
      </c>
      <c r="I6" s="43">
        <f t="array" aca="1" ref="I6" ca="1">INDIRECT("'"&amp;$B$3&amp;"'!"&amp;CHAR(64+COLUMN())&amp;(ROW()-4))</f>
        <v>76.930000000000007</v>
      </c>
      <c r="J6" s="43">
        <f t="array" aca="1" ref="J6" ca="1">INDIRECT("'"&amp;$B$3&amp;"'!"&amp;CHAR(64+COLUMN())&amp;(ROW()-4))</f>
        <v>77.650000000000006</v>
      </c>
      <c r="K6" s="43">
        <f t="array" aca="1" ref="K6" ca="1">INDIRECT("'"&amp;$B$3&amp;"'!"&amp;CHAR(64+COLUMN())&amp;(ROW()-4))</f>
        <v>47.268399656937369</v>
      </c>
      <c r="L6" s="43">
        <f t="array" aca="1" ref="L6" ca="1">INDIRECT("'"&amp;$B$3&amp;"'!"&amp;CHAR(64+COLUMN())&amp;(ROW()-4))</f>
        <v>44.528455166330772</v>
      </c>
      <c r="M6" s="43">
        <f t="array" aca="1" ref="M6" ca="1">INDIRECT("'"&amp;$B$3&amp;"'!"&amp;CHAR(64+COLUMN())&amp;(ROW()-4))</f>
        <v>21.856216372596212</v>
      </c>
      <c r="N6" s="43">
        <f t="array" aca="1" ref="N6" ca="1">INDIRECT("'"&amp;$B$3&amp;"'!"&amp;CHAR(64+COLUMN())&amp;(ROW()-4))</f>
        <v>24.92631853872804</v>
      </c>
      <c r="O6" s="43">
        <f t="array" aca="1" ref="O6" ca="1">INDIRECT("'"&amp;$B$3&amp;"'!"&amp;CHAR(64+COLUMN())&amp;(ROW()-4))</f>
        <v>-0.10094552395554809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81.900000000000006</v>
      </c>
      <c r="D7" s="43">
        <f t="array" aca="1" ref="D7" ca="1">INDIRECT("'"&amp;$B$3&amp;"'!"&amp;CHAR(64+COLUMN())&amp;(ROW()-4))</f>
        <v>77.5</v>
      </c>
      <c r="E7" s="43">
        <f t="array" aca="1" ref="E7" ca="1">INDIRECT("'"&amp;$B$3&amp;"'!"&amp;CHAR(64+COLUMN())&amp;(ROW()-4))</f>
        <v>79.8</v>
      </c>
      <c r="F7" s="43">
        <f t="array" aca="1" ref="F7" ca="1">INDIRECT("'"&amp;$B$3&amp;"'!"&amp;CHAR(64+COLUMN())&amp;(ROW()-4))</f>
        <v>8389</v>
      </c>
      <c r="G7" s="43">
        <f t="array" aca="1" ref="G7" ca="1">INDIRECT("'"&amp;$B$3&amp;"'!"&amp;CHAR(64+COLUMN())&amp;(ROW()-4))</f>
        <v>4.1775456919060092</v>
      </c>
      <c r="H7" s="43">
        <f t="array" aca="1" ref="H7" ca="1">INDIRECT("'"&amp;$B$3&amp;"'!"&amp;CHAR(64+COLUMN())&amp;(ROW()-4))</f>
        <v>77.180000000000007</v>
      </c>
      <c r="I7" s="43">
        <f t="array" aca="1" ref="I7" ca="1">INDIRECT("'"&amp;$B$3&amp;"'!"&amp;CHAR(64+COLUMN())&amp;(ROW()-4))</f>
        <v>76.960000000000008</v>
      </c>
      <c r="J7" s="43">
        <f t="array" aca="1" ref="J7" ca="1">INDIRECT("'"&amp;$B$3&amp;"'!"&amp;CHAR(64+COLUMN())&amp;(ROW()-4))</f>
        <v>77.709999999999994</v>
      </c>
      <c r="K7" s="43">
        <f t="array" aca="1" ref="K7" ca="1">INDIRECT("'"&amp;$B$3&amp;"'!"&amp;CHAR(64+COLUMN())&amp;(ROW()-4))</f>
        <v>63.848480836902738</v>
      </c>
      <c r="L7" s="43">
        <f t="array" aca="1" ref="L7" ca="1">INDIRECT("'"&amp;$B$3&amp;"'!"&amp;CHAR(64+COLUMN())&amp;(ROW()-4))</f>
        <v>54.826636802831793</v>
      </c>
      <c r="M7" s="43">
        <f t="array" aca="1" ref="M7" ca="1">INDIRECT("'"&amp;$B$3&amp;"'!"&amp;CHAR(64+COLUMN())&amp;(ROW()-4))</f>
        <v>37.904144248397429</v>
      </c>
      <c r="N7" s="43">
        <f t="array" aca="1" ref="N7" ca="1">INDIRECT("'"&amp;$B$3&amp;"'!"&amp;CHAR(64+COLUMN())&amp;(ROW()-4))</f>
        <v>29.252260441951169</v>
      </c>
      <c r="O7" s="43">
        <f t="array" aca="1" ref="O7" ca="1">INDIRECT("'"&amp;$B$3&amp;"'!"&amp;CHAR(64+COLUMN())&amp;(ROW()-4))</f>
        <v>0.1682536463088784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80.5</v>
      </c>
      <c r="D8" s="43">
        <f t="array" aca="1" ref="D8" ca="1">INDIRECT("'"&amp;$B$3&amp;"'!"&amp;CHAR(64+COLUMN())&amp;(ROW()-4))</f>
        <v>78.400000000000006</v>
      </c>
      <c r="E8" s="43">
        <f t="array" aca="1" ref="E8" ca="1">INDIRECT("'"&amp;$B$3&amp;"'!"&amp;CHAR(64+COLUMN())&amp;(ROW()-4))</f>
        <v>78.900000000000006</v>
      </c>
      <c r="F8" s="43">
        <f t="array" aca="1" ref="F8" ca="1">INDIRECT("'"&amp;$B$3&amp;"'!"&amp;CHAR(64+COLUMN())&amp;(ROW()-4))</f>
        <v>4801</v>
      </c>
      <c r="G8" s="43">
        <f t="array" aca="1" ref="G8" ca="1">INDIRECT("'"&amp;$B$3&amp;"'!"&amp;CHAR(64+COLUMN())&amp;(ROW()-4))</f>
        <v>-1.1278195488721701</v>
      </c>
      <c r="H8" s="43">
        <f t="array" aca="1" ref="H8" ca="1">INDIRECT("'"&amp;$B$3&amp;"'!"&amp;CHAR(64+COLUMN())&amp;(ROW()-4))</f>
        <v>77.359999999999985</v>
      </c>
      <c r="I8" s="43">
        <f t="array" aca="1" ref="I8" ca="1">INDIRECT("'"&amp;$B$3&amp;"'!"&amp;CHAR(64+COLUMN())&amp;(ROW()-4))</f>
        <v>76.939999999999984</v>
      </c>
      <c r="J8" s="43">
        <f t="array" aca="1" ref="J8" ca="1">INDIRECT("'"&amp;$B$3&amp;"'!"&amp;CHAR(64+COLUMN())&amp;(ROW()-4))</f>
        <v>77.674999999999997</v>
      </c>
      <c r="K8" s="43">
        <f t="array" aca="1" ref="K8" ca="1">INDIRECT("'"&amp;$B$3&amp;"'!"&amp;CHAR(64+COLUMN())&amp;(ROW()-4))</f>
        <v>57.723023121940152</v>
      </c>
      <c r="L8" s="43">
        <f t="array" aca="1" ref="L8" ca="1">INDIRECT("'"&amp;$B$3&amp;"'!"&amp;CHAR(64+COLUMN())&amp;(ROW()-4))</f>
        <v>51.871998269447218</v>
      </c>
      <c r="M8" s="43">
        <f t="array" aca="1" ref="M8" ca="1">INDIRECT("'"&amp;$B$3&amp;"'!"&amp;CHAR(64+COLUMN())&amp;(ROW()-4))</f>
        <v>44.317048546550673</v>
      </c>
      <c r="N8" s="43">
        <f t="array" aca="1" ref="N8" ca="1">INDIRECT("'"&amp;$B$3&amp;"'!"&amp;CHAR(64+COLUMN())&amp;(ROW()-4))</f>
        <v>34.27385647681767</v>
      </c>
      <c r="O8" s="43">
        <f t="array" aca="1" ref="O8" ca="1">INDIRECT("'"&amp;$B$3&amp;"'!"&amp;CHAR(64+COLUMN())&amp;(ROW()-4))</f>
        <v>0.28110369757786913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🟡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MA10=80.2  MA20=81.1  空頭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83.6</v>
      </c>
      <c r="D9" s="43">
        <f t="array" aca="1" ref="D9" ca="1">INDIRECT("'"&amp;$B$3&amp;"'!"&amp;CHAR(64+COLUMN())&amp;(ROW()-4))</f>
        <v>81.2</v>
      </c>
      <c r="E9" s="43">
        <f t="array" aca="1" ref="E9" ca="1">INDIRECT("'"&amp;$B$3&amp;"'!"&amp;CHAR(64+COLUMN())&amp;(ROW()-4))</f>
        <v>81.599999999999994</v>
      </c>
      <c r="F9" s="43">
        <f t="array" aca="1" ref="F9" ca="1">INDIRECT("'"&amp;$B$3&amp;"'!"&amp;CHAR(64+COLUMN())&amp;(ROW()-4))</f>
        <v>8739</v>
      </c>
      <c r="G9" s="43">
        <f t="array" aca="1" ref="G9" ca="1">INDIRECT("'"&amp;$B$3&amp;"'!"&amp;CHAR(64+COLUMN())&amp;(ROW()-4))</f>
        <v>3.4220532319391488</v>
      </c>
      <c r="H9" s="43">
        <f t="array" aca="1" ref="H9" ca="1">INDIRECT("'"&amp;$B$3&amp;"'!"&amp;CHAR(64+COLUMN())&amp;(ROW()-4))</f>
        <v>78.38</v>
      </c>
      <c r="I9" s="43">
        <f t="array" aca="1" ref="I9" ca="1">INDIRECT("'"&amp;$B$3&amp;"'!"&amp;CHAR(64+COLUMN())&amp;(ROW()-4))</f>
        <v>77.419999999999987</v>
      </c>
      <c r="J9" s="43">
        <f t="array" aca="1" ref="J9" ca="1">INDIRECT("'"&amp;$B$3&amp;"'!"&amp;CHAR(64+COLUMN())&amp;(ROW()-4))</f>
        <v>77.960000000000008</v>
      </c>
      <c r="K9" s="43">
        <f t="array" aca="1" ref="K9" ca="1">INDIRECT("'"&amp;$B$3&amp;"'!"&amp;CHAR(64+COLUMN())&amp;(ROW()-4))</f>
        <v>68.576056966431523</v>
      </c>
      <c r="L9" s="43">
        <f t="array" aca="1" ref="L9" ca="1">INDIRECT("'"&amp;$B$3&amp;"'!"&amp;CHAR(64+COLUMN())&amp;(ROW()-4))</f>
        <v>59.087670191206577</v>
      </c>
      <c r="M9" s="43">
        <f t="array" aca="1" ref="M9" ca="1">INDIRECT("'"&amp;$B$3&amp;"'!"&amp;CHAR(64+COLUMN())&amp;(ROW()-4))</f>
        <v>55.215197115324948</v>
      </c>
      <c r="N9" s="43">
        <f t="array" aca="1" ref="N9" ca="1">INDIRECT("'"&amp;$B$3&amp;"'!"&amp;CHAR(64+COLUMN())&amp;(ROW()-4))</f>
        <v>41.254303356320086</v>
      </c>
      <c r="O9" s="43">
        <f t="array" aca="1" ref="O9" ca="1">INDIRECT("'"&amp;$B$3&amp;"'!"&amp;CHAR(64+COLUMN())&amp;(ROW()-4))</f>
        <v>0.51914426143827663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KD金叉:✗(K=11)  RSI6:25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87</v>
      </c>
      <c r="D10" s="43">
        <f t="array" aca="1" ref="D10" ca="1">INDIRECT("'"&amp;$B$3&amp;"'!"&amp;CHAR(64+COLUMN())&amp;(ROW()-4))</f>
        <v>78.599999999999994</v>
      </c>
      <c r="E10" s="43">
        <f t="array" aca="1" ref="E10" ca="1">INDIRECT("'"&amp;$B$3&amp;"'!"&amp;CHAR(64+COLUMN())&amp;(ROW()-4))</f>
        <v>86.4</v>
      </c>
      <c r="F10" s="43">
        <f t="array" aca="1" ref="F10" ca="1">INDIRECT("'"&amp;$B$3&amp;"'!"&amp;CHAR(64+COLUMN())&amp;(ROW()-4))</f>
        <v>21999</v>
      </c>
      <c r="G10" s="43">
        <f t="array" aca="1" ref="G10" ca="1">INDIRECT("'"&amp;$B$3&amp;"'!"&amp;CHAR(64+COLUMN())&amp;(ROW()-4))</f>
        <v>5.8823529411764852</v>
      </c>
      <c r="H10" s="43">
        <f t="array" aca="1" ref="H10" ca="1">INDIRECT("'"&amp;$B$3&amp;"'!"&amp;CHAR(64+COLUMN())&amp;(ROW()-4))</f>
        <v>80.66</v>
      </c>
      <c r="I10" s="43">
        <f t="array" aca="1" ref="I10" ca="1">INDIRECT("'"&amp;$B$3&amp;"'!"&amp;CHAR(64+COLUMN())&amp;(ROW()-4))</f>
        <v>78.449999999999989</v>
      </c>
      <c r="J10" s="43">
        <f t="array" aca="1" ref="J10" ca="1">INDIRECT("'"&amp;$B$3&amp;"'!"&amp;CHAR(64+COLUMN())&amp;(ROW()-4))</f>
        <v>78.429999999999993</v>
      </c>
      <c r="K10" s="43">
        <f t="array" aca="1" ref="K10" ca="1">INDIRECT("'"&amp;$B$3&amp;"'!"&amp;CHAR(64+COLUMN())&amp;(ROW()-4))</f>
        <v>79.695751751400465</v>
      </c>
      <c r="L10" s="43">
        <f t="array" aca="1" ref="L10" ca="1">INDIRECT("'"&amp;$B$3&amp;"'!"&amp;CHAR(64+COLUMN())&amp;(ROW()-4))</f>
        <v>68.303859154192821</v>
      </c>
      <c r="M10" s="43">
        <f t="array" aca="1" ref="M10" ca="1">INDIRECT("'"&amp;$B$3&amp;"'!"&amp;CHAR(64+COLUMN())&amp;(ROW()-4))</f>
        <v>68.490572181566506</v>
      </c>
      <c r="N10" s="43">
        <f t="array" aca="1" ref="N10" ca="1">INDIRECT("'"&amp;$B$3&amp;"'!"&amp;CHAR(64+COLUMN())&amp;(ROW()-4))</f>
        <v>50.333059631402229</v>
      </c>
      <c r="O10" s="43">
        <f t="array" aca="1" ref="O10" ca="1">INDIRECT("'"&amp;$B$3&amp;"'!"&amp;CHAR(64+COLUMN())&amp;(ROW()-4))</f>
        <v>0.95600719277995727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今量=1,915  5日均=3,946  比值=0.49x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87.5</v>
      </c>
      <c r="D11" s="43">
        <f t="array" aca="1" ref="D11" ca="1">INDIRECT("'"&amp;$B$3&amp;"'!"&amp;CHAR(64+COLUMN())&amp;(ROW()-4))</f>
        <v>83.6</v>
      </c>
      <c r="E11" s="43">
        <f t="array" aca="1" ref="E11" ca="1">INDIRECT("'"&amp;$B$3&amp;"'!"&amp;CHAR(64+COLUMN())&amp;(ROW()-4))</f>
        <v>84.1</v>
      </c>
      <c r="F11" s="43">
        <f t="array" aca="1" ref="F11" ca="1">INDIRECT("'"&amp;$B$3&amp;"'!"&amp;CHAR(64+COLUMN())&amp;(ROW()-4))</f>
        <v>12108</v>
      </c>
      <c r="G11" s="43">
        <f t="array" aca="1" ref="G11" ca="1">INDIRECT("'"&amp;$B$3&amp;"'!"&amp;CHAR(64+COLUMN())&amp;(ROW()-4))</f>
        <v>-2.6620370370370501</v>
      </c>
      <c r="H11" s="43">
        <f t="array" aca="1" ref="H11" ca="1">INDIRECT("'"&amp;$B$3&amp;"'!"&amp;CHAR(64+COLUMN())&amp;(ROW()-4))</f>
        <v>82.16</v>
      </c>
      <c r="I11" s="43">
        <f t="array" aca="1" ref="I11" ca="1">INDIRECT("'"&amp;$B$3&amp;"'!"&amp;CHAR(64+COLUMN())&amp;(ROW()-4))</f>
        <v>79.210000000000008</v>
      </c>
      <c r="J11" s="43">
        <f t="array" aca="1" ref="J11" ca="1">INDIRECT("'"&amp;$B$3&amp;"'!"&amp;CHAR(64+COLUMN())&amp;(ROW()-4))</f>
        <v>78.77</v>
      </c>
      <c r="K11" s="43">
        <f t="array" aca="1" ref="K11" ca="1">INDIRECT("'"&amp;$B$3&amp;"'!"&amp;CHAR(64+COLUMN())&amp;(ROW()-4))</f>
        <v>66.221644647336461</v>
      </c>
      <c r="L11" s="43">
        <f t="array" aca="1" ref="L11" ca="1">INDIRECT("'"&amp;$B$3&amp;"'!"&amp;CHAR(64+COLUMN())&amp;(ROW()-4))</f>
        <v>61.108181819839523</v>
      </c>
      <c r="M11" s="43">
        <f t="array" aca="1" ref="M11" ca="1">INDIRECT("'"&amp;$B$3&amp;"'!"&amp;CHAR(64+COLUMN())&amp;(ROW()-4))</f>
        <v>69.999005793001984</v>
      </c>
      <c r="N11" s="43">
        <f t="array" aca="1" ref="N11" ca="1">INDIRECT("'"&amp;$B$3&amp;"'!"&amp;CHAR(64+COLUMN())&amp;(ROW()-4))</f>
        <v>56.88837501860214</v>
      </c>
      <c r="O11" s="43">
        <f t="array" aca="1" ref="O11" ca="1">INDIRECT("'"&amp;$B$3&amp;"'!"&amp;CHAR(64+COLUMN())&amp;(ROW()-4))</f>
        <v>1.0393027086087561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MA10=80.2  中 -6%=71.9  鬆 MA20=81.1  (σ=2.5%)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85.2</v>
      </c>
      <c r="D12" s="43">
        <f t="array" aca="1" ref="D12" ca="1">INDIRECT("'"&amp;$B$3&amp;"'!"&amp;CHAR(64+COLUMN())&amp;(ROW()-4))</f>
        <v>82.8</v>
      </c>
      <c r="E12" s="43">
        <f t="array" aca="1" ref="E12" ca="1">INDIRECT("'"&amp;$B$3&amp;"'!"&amp;CHAR(64+COLUMN())&amp;(ROW()-4))</f>
        <v>84.3</v>
      </c>
      <c r="F12" s="43">
        <f t="array" aca="1" ref="F12" ca="1">INDIRECT("'"&amp;$B$3&amp;"'!"&amp;CHAR(64+COLUMN())&amp;(ROW()-4))</f>
        <v>7894</v>
      </c>
      <c r="G12" s="43">
        <f t="array" aca="1" ref="G12" ca="1">INDIRECT("'"&amp;$B$3&amp;"'!"&amp;CHAR(64+COLUMN())&amp;(ROW()-4))</f>
        <v>0.23781212841855279</v>
      </c>
      <c r="H12" s="43">
        <f t="array" aca="1" ref="H12" ca="1">INDIRECT("'"&amp;$B$3&amp;"'!"&amp;CHAR(64+COLUMN())&amp;(ROW()-4))</f>
        <v>83.06</v>
      </c>
      <c r="I12" s="43">
        <f t="array" aca="1" ref="I12" ca="1">INDIRECT("'"&amp;$B$3&amp;"'!"&amp;CHAR(64+COLUMN())&amp;(ROW()-4))</f>
        <v>80.12</v>
      </c>
      <c r="J12" s="43">
        <f t="array" aca="1" ref="J12" ca="1">INDIRECT("'"&amp;$B$3&amp;"'!"&amp;CHAR(64+COLUMN())&amp;(ROW()-4))</f>
        <v>79.044999999999987</v>
      </c>
      <c r="K12" s="43">
        <f t="array" aca="1" ref="K12" ca="1">INDIRECT("'"&amp;$B$3&amp;"'!"&amp;CHAR(64+COLUMN())&amp;(ROW()-4))</f>
        <v>66.807232015051994</v>
      </c>
      <c r="L12" s="43">
        <f t="array" aca="1" ref="L12" ca="1">INDIRECT("'"&amp;$B$3&amp;"'!"&amp;CHAR(64+COLUMN())&amp;(ROW()-4))</f>
        <v>61.493001107852741</v>
      </c>
      <c r="M12" s="43">
        <f t="array" aca="1" ref="M12" ca="1">INDIRECT("'"&amp;$B$3&amp;"'!"&amp;CHAR(64+COLUMN())&amp;(ROW()-4))</f>
        <v>71.466003862001315</v>
      </c>
      <c r="N12" s="43">
        <f t="array" aca="1" ref="N12" ca="1">INDIRECT("'"&amp;$B$3&amp;"'!"&amp;CHAR(64+COLUMN())&amp;(ROW()-4))</f>
        <v>61.747584633068527</v>
      </c>
      <c r="O12" s="43">
        <f t="array" aca="1" ref="O12" ca="1">INDIRECT("'"&amp;$B$3&amp;"'!"&amp;CHAR(64+COLUMN())&amp;(ROW()-4))</f>
        <v>1.05379790799602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收盤=76.5  MA5=77.4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85.1</v>
      </c>
      <c r="D13" s="43">
        <f t="array" aca="1" ref="D13" ca="1">INDIRECT("'"&amp;$B$3&amp;"'!"&amp;CHAR(64+COLUMN())&amp;(ROW()-4))</f>
        <v>81.5</v>
      </c>
      <c r="E13" s="43">
        <f t="array" aca="1" ref="E13" ca="1">INDIRECT("'"&amp;$B$3&amp;"'!"&amp;CHAR(64+COLUMN())&amp;(ROW()-4))</f>
        <v>81.7</v>
      </c>
      <c r="F13" s="43">
        <f t="array" aca="1" ref="F13" ca="1">INDIRECT("'"&amp;$B$3&amp;"'!"&amp;CHAR(64+COLUMN())&amp;(ROW()-4))</f>
        <v>8163</v>
      </c>
      <c r="G13" s="43">
        <f t="array" aca="1" ref="G13" ca="1">INDIRECT("'"&amp;$B$3&amp;"'!"&amp;CHAR(64+COLUMN())&amp;(ROW()-4))</f>
        <v>-3.084223013048629</v>
      </c>
      <c r="H13" s="43">
        <f t="array" aca="1" ref="H13" ca="1">INDIRECT("'"&amp;$B$3&amp;"'!"&amp;CHAR(64+COLUMN())&amp;(ROW()-4))</f>
        <v>83.61999999999999</v>
      </c>
      <c r="I13" s="43">
        <f t="array" aca="1" ref="I13" ca="1">INDIRECT("'"&amp;$B$3&amp;"'!"&amp;CHAR(64+COLUMN())&amp;(ROW()-4))</f>
        <v>80.489999999999995</v>
      </c>
      <c r="J13" s="43">
        <f t="array" aca="1" ref="J13" ca="1">INDIRECT("'"&amp;$B$3&amp;"'!"&amp;CHAR(64+COLUMN())&amp;(ROW()-4))</f>
        <v>79.23</v>
      </c>
      <c r="K13" s="43">
        <f t="array" aca="1" ref="K13" ca="1">INDIRECT("'"&amp;$B$3&amp;"'!"&amp;CHAR(64+COLUMN())&amp;(ROW()-4))</f>
        <v>52.585723872222367</v>
      </c>
      <c r="L13" s="43">
        <f t="array" aca="1" ref="L13" ca="1">INDIRECT("'"&amp;$B$3&amp;"'!"&amp;CHAR(64+COLUMN())&amp;(ROW()-4))</f>
        <v>53.925925007350173</v>
      </c>
      <c r="M13" s="43">
        <f t="array" aca="1" ref="M13" ca="1">INDIRECT("'"&amp;$B$3&amp;"'!"&amp;CHAR(64+COLUMN())&amp;(ROW()-4))</f>
        <v>65.510669241334213</v>
      </c>
      <c r="N13" s="43">
        <f t="array" aca="1" ref="N13" ca="1">INDIRECT("'"&amp;$B$3&amp;"'!"&amp;CHAR(64+COLUMN())&amp;(ROW()-4))</f>
        <v>63.00194616915708</v>
      </c>
      <c r="O13" s="43">
        <f t="array" aca="1" ref="O13" ca="1">INDIRECT("'"&amp;$B$3&amp;"'!"&amp;CHAR(64+COLUMN())&amp;(ROW()-4))</f>
        <v>0.84331926233411947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🔴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破MA20:✓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83.3</v>
      </c>
      <c r="D14" s="43">
        <f t="array" aca="1" ref="D14" ca="1">INDIRECT("'"&amp;$B$3&amp;"'!"&amp;CHAR(64+COLUMN())&amp;(ROW()-4))</f>
        <v>81.7</v>
      </c>
      <c r="E14" s="43">
        <f t="array" aca="1" ref="E14" ca="1">INDIRECT("'"&amp;$B$3&amp;"'!"&amp;CHAR(64+COLUMN())&amp;(ROW()-4))</f>
        <v>82.5</v>
      </c>
      <c r="F14" s="43">
        <f t="array" aca="1" ref="F14" ca="1">INDIRECT("'"&amp;$B$3&amp;"'!"&amp;CHAR(64+COLUMN())&amp;(ROW()-4))</f>
        <v>3461</v>
      </c>
      <c r="G14" s="43">
        <f t="array" aca="1" ref="G14" ca="1">INDIRECT("'"&amp;$B$3&amp;"'!"&amp;CHAR(64+COLUMN())&amp;(ROW()-4))</f>
        <v>0.97919216646266471</v>
      </c>
      <c r="H14" s="43">
        <f t="array" aca="1" ref="H14" ca="1">INDIRECT("'"&amp;$B$3&amp;"'!"&amp;CHAR(64+COLUMN())&amp;(ROW()-4))</f>
        <v>83.8</v>
      </c>
      <c r="I14" s="43">
        <f t="array" aca="1" ref="I14" ca="1">INDIRECT("'"&amp;$B$3&amp;"'!"&amp;CHAR(64+COLUMN())&amp;(ROW()-4))</f>
        <v>81.09</v>
      </c>
      <c r="J14" s="43">
        <f t="array" aca="1" ref="J14" ca="1">INDIRECT("'"&amp;$B$3&amp;"'!"&amp;CHAR(64+COLUMN())&amp;(ROW()-4))</f>
        <v>79.414999999999992</v>
      </c>
      <c r="K14" s="43">
        <f t="array" aca="1" ref="K14" ca="1">INDIRECT("'"&amp;$B$3&amp;"'!"&amp;CHAR(64+COLUMN())&amp;(ROW()-4))</f>
        <v>56.040890137690482</v>
      </c>
      <c r="L14" s="43">
        <f t="array" aca="1" ref="L14" ca="1">INDIRECT("'"&amp;$B$3&amp;"'!"&amp;CHAR(64+COLUMN())&amp;(ROW()-4))</f>
        <v>55.753545781558891</v>
      </c>
      <c r="M14" s="43">
        <f t="array" aca="1" ref="M14" ca="1">INDIRECT("'"&amp;$B$3&amp;"'!"&amp;CHAR(64+COLUMN())&amp;(ROW()-4))</f>
        <v>62.639296735602109</v>
      </c>
      <c r="N14" s="43">
        <f t="array" aca="1" ref="N14" ca="1">INDIRECT("'"&amp;$B$3&amp;"'!"&amp;CHAR(64+COLUMN())&amp;(ROW()-4))</f>
        <v>62.881063024638749</v>
      </c>
      <c r="O14" s="43">
        <f t="array" aca="1" ref="O14" ca="1">INDIRECT("'"&amp;$B$3&amp;"'!"&amp;CHAR(64+COLUMN())&amp;(ROW()-4))</f>
        <v>0.71792296926337218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83.9</v>
      </c>
      <c r="D15" s="43">
        <f t="array" aca="1" ref="D15" ca="1">INDIRECT("'"&amp;$B$3&amp;"'!"&amp;CHAR(64+COLUMN())&amp;(ROW()-4))</f>
        <v>82.7</v>
      </c>
      <c r="E15" s="43">
        <f t="array" aca="1" ref="E15" ca="1">INDIRECT("'"&amp;$B$3&amp;"'!"&amp;CHAR(64+COLUMN())&amp;(ROW()-4))</f>
        <v>83.5</v>
      </c>
      <c r="F15" s="43">
        <f t="array" aca="1" ref="F15" ca="1">INDIRECT("'"&amp;$B$3&amp;"'!"&amp;CHAR(64+COLUMN())&amp;(ROW()-4))</f>
        <v>2751</v>
      </c>
      <c r="G15" s="43">
        <f t="array" aca="1" ref="G15" ca="1">INDIRECT("'"&amp;$B$3&amp;"'!"&amp;CHAR(64+COLUMN())&amp;(ROW()-4))</f>
        <v>1.2121212121212119</v>
      </c>
      <c r="H15" s="43">
        <f t="array" aca="1" ref="H15" ca="1">INDIRECT("'"&amp;$B$3&amp;"'!"&amp;CHAR(64+COLUMN())&amp;(ROW()-4))</f>
        <v>83.22</v>
      </c>
      <c r="I15" s="43">
        <f t="array" aca="1" ref="I15" ca="1">INDIRECT("'"&amp;$B$3&amp;"'!"&amp;CHAR(64+COLUMN())&amp;(ROW()-4))</f>
        <v>81.94</v>
      </c>
      <c r="J15" s="43">
        <f t="array" aca="1" ref="J15" ca="1">INDIRECT("'"&amp;$B$3&amp;"'!"&amp;CHAR(64+COLUMN())&amp;(ROW()-4))</f>
        <v>79.58</v>
      </c>
      <c r="K15" s="43">
        <f t="array" aca="1" ref="K15" ca="1">INDIRECT("'"&amp;$B$3&amp;"'!"&amp;CHAR(64+COLUMN())&amp;(ROW()-4))</f>
        <v>60.372485848779753</v>
      </c>
      <c r="L15" s="43">
        <f t="array" aca="1" ref="L15" ca="1">INDIRECT("'"&amp;$B$3&amp;"'!"&amp;CHAR(64+COLUMN())&amp;(ROW()-4))</f>
        <v>58.024081027154168</v>
      </c>
      <c r="M15" s="43">
        <f t="array" aca="1" ref="M15" ca="1">INDIRECT("'"&amp;$B$3&amp;"'!"&amp;CHAR(64+COLUMN())&amp;(ROW()-4))</f>
        <v>61.759531157068068</v>
      </c>
      <c r="N15" s="43">
        <f t="array" aca="1" ref="N15" ca="1">INDIRECT("'"&amp;$B$3&amp;"'!"&amp;CHAR(64+COLUMN())&amp;(ROW()-4))</f>
        <v>62.507219068781851</v>
      </c>
      <c r="O15" s="43">
        <f t="array" aca="1" ref="O15" ca="1">INDIRECT("'"&amp;$B$3&amp;"'!"&amp;CHAR(64+COLUMN())&amp;(ROW()-4))</f>
        <v>0.66355536846368945</v>
      </c>
      <c r="Q15" s="49" t="s">
        <v>46</v>
      </c>
      <c r="R15" s="50" t="str">
        <f ca="1">"通過 "&amp;(COUNTIF(S7:S13,"🟢"))&amp;" / 7  警示 "&amp;COUNTIF(S7:S13,"🟡")&amp;"  危險 "&amp;COUNTIF(S7:S13,"🔴")</f>
        <v>通過 1 / 7  警示 1  危險 4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出場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85.4</v>
      </c>
      <c r="D16" s="43">
        <f t="array" aca="1" ref="D16" ca="1">INDIRECT("'"&amp;$B$3&amp;"'!"&amp;CHAR(64+COLUMN())&amp;(ROW()-4))</f>
        <v>82.1</v>
      </c>
      <c r="E16" s="43">
        <f t="array" aca="1" ref="E16" ca="1">INDIRECT("'"&amp;$B$3&amp;"'!"&amp;CHAR(64+COLUMN())&amp;(ROW()-4))</f>
        <v>82.2</v>
      </c>
      <c r="F16" s="43">
        <f t="array" aca="1" ref="F16" ca="1">INDIRECT("'"&amp;$B$3&amp;"'!"&amp;CHAR(64+COLUMN())&amp;(ROW()-4))</f>
        <v>5254</v>
      </c>
      <c r="G16" s="43">
        <f t="array" aca="1" ref="G16" ca="1">INDIRECT("'"&amp;$B$3&amp;"'!"&amp;CHAR(64+COLUMN())&amp;(ROW()-4))</f>
        <v>-1.5568862275449069</v>
      </c>
      <c r="H16" s="43">
        <f t="array" aca="1" ref="H16" ca="1">INDIRECT("'"&amp;$B$3&amp;"'!"&amp;CHAR(64+COLUMN())&amp;(ROW()-4))</f>
        <v>82.84</v>
      </c>
      <c r="I16" s="43">
        <f t="array" aca="1" ref="I16" ca="1">INDIRECT("'"&amp;$B$3&amp;"'!"&amp;CHAR(64+COLUMN())&amp;(ROW()-4))</f>
        <v>82.5</v>
      </c>
      <c r="J16" s="43">
        <f t="array" aca="1" ref="J16" ca="1">INDIRECT("'"&amp;$B$3&amp;"'!"&amp;CHAR(64+COLUMN())&amp;(ROW()-4))</f>
        <v>79.715000000000003</v>
      </c>
      <c r="K16" s="43">
        <f t="array" aca="1" ref="K16" ca="1">INDIRECT("'"&amp;$B$3&amp;"'!"&amp;CHAR(64+COLUMN())&amp;(ROW()-4))</f>
        <v>52.328650721183493</v>
      </c>
      <c r="L16" s="43">
        <f t="array" aca="1" ref="L16" ca="1">INDIRECT("'"&amp;$B$3&amp;"'!"&amp;CHAR(64+COLUMN())&amp;(ROW()-4))</f>
        <v>54.087843022207657</v>
      </c>
      <c r="M16" s="43">
        <f t="array" aca="1" ref="M16" ca="1">INDIRECT("'"&amp;$B$3&amp;"'!"&amp;CHAR(64+COLUMN())&amp;(ROW()-4))</f>
        <v>55.092434690792629</v>
      </c>
      <c r="N16" s="43">
        <f t="array" aca="1" ref="N16" ca="1">INDIRECT("'"&amp;$B$3&amp;"'!"&amp;CHAR(64+COLUMN())&amp;(ROW()-4))</f>
        <v>60.035624276118767</v>
      </c>
      <c r="O16" s="43">
        <f t="array" aca="1" ref="O16" ca="1">INDIRECT("'"&amp;$B$3&amp;"'!"&amp;CHAR(64+COLUMN())&amp;(ROW()-4))</f>
        <v>0.50826421170838709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83.8</v>
      </c>
      <c r="D17" s="43">
        <f t="array" aca="1" ref="D17" ca="1">INDIRECT("'"&amp;$B$3&amp;"'!"&amp;CHAR(64+COLUMN())&amp;(ROW()-4))</f>
        <v>82.6</v>
      </c>
      <c r="E17" s="43">
        <f t="array" aca="1" ref="E17" ca="1">INDIRECT("'"&amp;$B$3&amp;"'!"&amp;CHAR(64+COLUMN())&amp;(ROW()-4))</f>
        <v>83.3</v>
      </c>
      <c r="F17" s="43">
        <f t="array" aca="1" ref="F17" ca="1">INDIRECT("'"&amp;$B$3&amp;"'!"&amp;CHAR(64+COLUMN())&amp;(ROW()-4))</f>
        <v>2458</v>
      </c>
      <c r="G17" s="43">
        <f t="array" aca="1" ref="G17" ca="1">INDIRECT("'"&amp;$B$3&amp;"'!"&amp;CHAR(64+COLUMN())&amp;(ROW()-4))</f>
        <v>1.3381995133819879</v>
      </c>
      <c r="H17" s="43">
        <f t="array" aca="1" ref="H17" ca="1">INDIRECT("'"&amp;$B$3&amp;"'!"&amp;CHAR(64+COLUMN())&amp;(ROW()-4))</f>
        <v>82.64</v>
      </c>
      <c r="I17" s="43">
        <f t="array" aca="1" ref="I17" ca="1">INDIRECT("'"&amp;$B$3&amp;"'!"&amp;CHAR(64+COLUMN())&amp;(ROW()-4))</f>
        <v>82.85</v>
      </c>
      <c r="J17" s="43">
        <f t="array" aca="1" ref="J17" ca="1">INDIRECT("'"&amp;$B$3&amp;"'!"&amp;CHAR(64+COLUMN())&amp;(ROW()-4))</f>
        <v>79.905000000000001</v>
      </c>
      <c r="K17" s="43">
        <f t="array" aca="1" ref="K17" ca="1">INDIRECT("'"&amp;$B$3&amp;"'!"&amp;CHAR(64+COLUMN())&amp;(ROW()-4))</f>
        <v>58.00941312525957</v>
      </c>
      <c r="L17" s="43">
        <f t="array" aca="1" ref="L17" ca="1">INDIRECT("'"&amp;$B$3&amp;"'!"&amp;CHAR(64+COLUMN())&amp;(ROW()-4))</f>
        <v>56.793425683898548</v>
      </c>
      <c r="M17" s="43">
        <f t="array" aca="1" ref="M17" ca="1">INDIRECT("'"&amp;$B$3&amp;"'!"&amp;CHAR(64+COLUMN())&amp;(ROW()-4))</f>
        <v>54.33128604854339</v>
      </c>
      <c r="N17" s="43">
        <f t="array" aca="1" ref="N17" ca="1">INDIRECT("'"&amp;$B$3&amp;"'!"&amp;CHAR(64+COLUMN())&amp;(ROW()-4))</f>
        <v>58.134178200260308</v>
      </c>
      <c r="O17" s="43">
        <f t="array" aca="1" ref="O17" ca="1">INDIRECT("'"&amp;$B$3&amp;"'!"&amp;CHAR(64+COLUMN())&amp;(ROW()-4))</f>
        <v>0.44986070055052257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84.4</v>
      </c>
      <c r="D18" s="43">
        <f t="array" aca="1" ref="D18" ca="1">INDIRECT("'"&amp;$B$3&amp;"'!"&amp;CHAR(64+COLUMN())&amp;(ROW()-4))</f>
        <v>82.8</v>
      </c>
      <c r="E18" s="43">
        <f t="array" aca="1" ref="E18" ca="1">INDIRECT("'"&amp;$B$3&amp;"'!"&amp;CHAR(64+COLUMN())&amp;(ROW()-4))</f>
        <v>83.6</v>
      </c>
      <c r="F18" s="43">
        <f t="array" aca="1" ref="F18" ca="1">INDIRECT("'"&amp;$B$3&amp;"'!"&amp;CHAR(64+COLUMN())&amp;(ROW()-4))</f>
        <v>3285</v>
      </c>
      <c r="G18" s="43">
        <f t="array" aca="1" ref="G18" ca="1">INDIRECT("'"&amp;$B$3&amp;"'!"&amp;CHAR(64+COLUMN())&amp;(ROW()-4))</f>
        <v>0.36014405762304591</v>
      </c>
      <c r="H18" s="43">
        <f t="array" aca="1" ref="H18" ca="1">INDIRECT("'"&amp;$B$3&amp;"'!"&amp;CHAR(64+COLUMN())&amp;(ROW()-4))</f>
        <v>83.02000000000001</v>
      </c>
      <c r="I18" s="43">
        <f t="array" aca="1" ref="I18" ca="1">INDIRECT("'"&amp;$B$3&amp;"'!"&amp;CHAR(64+COLUMN())&amp;(ROW()-4))</f>
        <v>83.32</v>
      </c>
      <c r="J18" s="43">
        <f t="array" aca="1" ref="J18" ca="1">INDIRECT("'"&amp;$B$3&amp;"'!"&amp;CHAR(64+COLUMN())&amp;(ROW()-4))</f>
        <v>80.13</v>
      </c>
      <c r="K18" s="43">
        <f t="array" aca="1" ref="K18" ca="1">INDIRECT("'"&amp;$B$3&amp;"'!"&amp;CHAR(64+COLUMN())&amp;(ROW()-4))</f>
        <v>59.585556077379053</v>
      </c>
      <c r="L18" s="43">
        <f t="array" aca="1" ref="L18" ca="1">INDIRECT("'"&amp;$B$3&amp;"'!"&amp;CHAR(64+COLUMN())&amp;(ROW()-4))</f>
        <v>57.537903352996118</v>
      </c>
      <c r="M18" s="43">
        <f t="array" aca="1" ref="M18" ca="1">INDIRECT("'"&amp;$B$3&amp;"'!"&amp;CHAR(64+COLUMN())&amp;(ROW()-4))</f>
        <v>54.947449125995213</v>
      </c>
      <c r="N18" s="43">
        <f t="array" aca="1" ref="N18" ca="1">INDIRECT("'"&amp;$B$3&amp;"'!"&amp;CHAR(64+COLUMN())&amp;(ROW()-4))</f>
        <v>57.071935175505267</v>
      </c>
      <c r="O18" s="43">
        <f t="array" aca="1" ref="O18" ca="1">INDIRECT("'"&amp;$B$3&amp;"'!"&amp;CHAR(64+COLUMN())&amp;(ROW()-4))</f>
        <v>0.40316664260147311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84.9</v>
      </c>
      <c r="D19" s="43">
        <f t="array" aca="1" ref="D19" ca="1">INDIRECT("'"&amp;$B$3&amp;"'!"&amp;CHAR(64+COLUMN())&amp;(ROW()-4))</f>
        <v>83.2</v>
      </c>
      <c r="E19" s="43">
        <f t="array" aca="1" ref="E19" ca="1">INDIRECT("'"&amp;$B$3&amp;"'!"&amp;CHAR(64+COLUMN())&amp;(ROW()-4))</f>
        <v>84.3</v>
      </c>
      <c r="F19" s="43">
        <f t="array" aca="1" ref="F19" ca="1">INDIRECT("'"&amp;$B$3&amp;"'!"&amp;CHAR(64+COLUMN())&amp;(ROW()-4))</f>
        <v>3438</v>
      </c>
      <c r="G19" s="43">
        <f t="array" aca="1" ref="G19" ca="1">INDIRECT("'"&amp;$B$3&amp;"'!"&amp;CHAR(64+COLUMN())&amp;(ROW()-4))</f>
        <v>0.83732057416268291</v>
      </c>
      <c r="H19" s="43">
        <f t="array" aca="1" ref="H19" ca="1">INDIRECT("'"&amp;$B$3&amp;"'!"&amp;CHAR(64+COLUMN())&amp;(ROW()-4))</f>
        <v>83.38000000000001</v>
      </c>
      <c r="I19" s="43">
        <f t="array" aca="1" ref="I19" ca="1">INDIRECT("'"&amp;$B$3&amp;"'!"&amp;CHAR(64+COLUMN())&amp;(ROW()-4))</f>
        <v>83.59</v>
      </c>
      <c r="J19" s="43">
        <f t="array" aca="1" ref="J19" ca="1">INDIRECT("'"&amp;$B$3&amp;"'!"&amp;CHAR(64+COLUMN())&amp;(ROW()-4))</f>
        <v>80.504999999999995</v>
      </c>
      <c r="K19" s="43">
        <f t="array" aca="1" ref="K19" ca="1">INDIRECT("'"&amp;$B$3&amp;"'!"&amp;CHAR(64+COLUMN())&amp;(ROW()-4))</f>
        <v>63.42914397519894</v>
      </c>
      <c r="L19" s="43">
        <f t="array" aca="1" ref="L19" ca="1">INDIRECT("'"&amp;$B$3&amp;"'!"&amp;CHAR(64+COLUMN())&amp;(ROW()-4))</f>
        <v>59.322033067626947</v>
      </c>
      <c r="M19" s="43">
        <f t="array" aca="1" ref="M19" ca="1">INDIRECT("'"&amp;$B$3&amp;"'!"&amp;CHAR(64+COLUMN())&amp;(ROW()-4))</f>
        <v>52.187188306219007</v>
      </c>
      <c r="N19" s="43">
        <f t="array" aca="1" ref="N19" ca="1">INDIRECT("'"&amp;$B$3&amp;"'!"&amp;CHAR(64+COLUMN())&amp;(ROW()-4))</f>
        <v>55.443686219076511</v>
      </c>
      <c r="O19" s="43">
        <f t="array" aca="1" ref="O19" ca="1">INDIRECT("'"&amp;$B$3&amp;"'!"&amp;CHAR(64+COLUMN())&amp;(ROW()-4))</f>
        <v>0.39086778994621618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84.9</v>
      </c>
      <c r="D20" s="43">
        <f t="array" aca="1" ref="D20" ca="1">INDIRECT("'"&amp;$B$3&amp;"'!"&amp;CHAR(64+COLUMN())&amp;(ROW()-4))</f>
        <v>79.5</v>
      </c>
      <c r="E20" s="43">
        <f t="array" aca="1" ref="E20" ca="1">INDIRECT("'"&amp;$B$3&amp;"'!"&amp;CHAR(64+COLUMN())&amp;(ROW()-4))</f>
        <v>81.400000000000006</v>
      </c>
      <c r="F20" s="43">
        <f t="array" aca="1" ref="F20" ca="1">INDIRECT("'"&amp;$B$3&amp;"'!"&amp;CHAR(64+COLUMN())&amp;(ROW()-4))</f>
        <v>5789</v>
      </c>
      <c r="G20" s="43">
        <f t="array" aca="1" ref="G20" ca="1">INDIRECT("'"&amp;$B$3&amp;"'!"&amp;CHAR(64+COLUMN())&amp;(ROW()-4))</f>
        <v>-3.440094899169623</v>
      </c>
      <c r="H20" s="43">
        <f t="array" aca="1" ref="H20" ca="1">INDIRECT("'"&amp;$B$3&amp;"'!"&amp;CHAR(64+COLUMN())&amp;(ROW()-4))</f>
        <v>82.96</v>
      </c>
      <c r="I20" s="43">
        <f t="array" aca="1" ref="I20" ca="1">INDIRECT("'"&amp;$B$3&amp;"'!"&amp;CHAR(64+COLUMN())&amp;(ROW()-4))</f>
        <v>83.089999999999989</v>
      </c>
      <c r="J20" s="43">
        <f t="array" aca="1" ref="J20" ca="1">INDIRECT("'"&amp;$B$3&amp;"'!"&amp;CHAR(64+COLUMN())&amp;(ROW()-4))</f>
        <v>80.77</v>
      </c>
      <c r="K20" s="43">
        <f t="array" aca="1" ref="K20" ca="1">INDIRECT("'"&amp;$B$3&amp;"'!"&amp;CHAR(64+COLUMN())&amp;(ROW()-4))</f>
        <v>43.066919456645877</v>
      </c>
      <c r="L20" s="43">
        <f t="array" aca="1" ref="L20" ca="1">INDIRECT("'"&amp;$B$3&amp;"'!"&amp;CHAR(64+COLUMN())&amp;(ROW()-4))</f>
        <v>49.854847261663267</v>
      </c>
      <c r="M20" s="43">
        <f t="array" aca="1" ref="M20" ca="1">INDIRECT("'"&amp;$B$3&amp;"'!"&amp;CHAR(64+COLUMN())&amp;(ROW()-4))</f>
        <v>45.525922147648849</v>
      </c>
      <c r="N20" s="43">
        <f t="array" aca="1" ref="N20" ca="1">INDIRECT("'"&amp;$B$3&amp;"'!"&amp;CHAR(64+COLUMN())&amp;(ROW()-4))</f>
        <v>52.13776486193396</v>
      </c>
      <c r="O20" s="43">
        <f t="array" aca="1" ref="O20" ca="1">INDIRECT("'"&amp;$B$3&amp;"'!"&amp;CHAR(64+COLUMN())&amp;(ROW()-4))</f>
        <v>0.17013745530103039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82.3</v>
      </c>
      <c r="D21" s="43">
        <f t="array" aca="1" ref="D21" ca="1">INDIRECT("'"&amp;$B$3&amp;"'!"&amp;CHAR(64+COLUMN())&amp;(ROW()-4))</f>
        <v>78.7</v>
      </c>
      <c r="E21" s="43">
        <f t="array" aca="1" ref="E21" ca="1">INDIRECT("'"&amp;$B$3&amp;"'!"&amp;CHAR(64+COLUMN())&amp;(ROW()-4))</f>
        <v>78.8</v>
      </c>
      <c r="F21" s="43">
        <f t="array" aca="1" ref="F21" ca="1">INDIRECT("'"&amp;$B$3&amp;"'!"&amp;CHAR(64+COLUMN())&amp;(ROW()-4))</f>
        <v>3903</v>
      </c>
      <c r="G21" s="43">
        <f t="array" aca="1" ref="G21" ca="1">INDIRECT("'"&amp;$B$3&amp;"'!"&amp;CHAR(64+COLUMN())&amp;(ROW()-4))</f>
        <v>-3.1941031941032052</v>
      </c>
      <c r="H21" s="43">
        <f t="array" aca="1" ref="H21" ca="1">INDIRECT("'"&amp;$B$3&amp;"'!"&amp;CHAR(64+COLUMN())&amp;(ROW()-4))</f>
        <v>82.28</v>
      </c>
      <c r="I21" s="43">
        <f t="array" aca="1" ref="I21" ca="1">INDIRECT("'"&amp;$B$3&amp;"'!"&amp;CHAR(64+COLUMN())&amp;(ROW()-4))</f>
        <v>82.559999999999988</v>
      </c>
      <c r="J21" s="43">
        <f t="array" aca="1" ref="J21" ca="1">INDIRECT("'"&amp;$B$3&amp;"'!"&amp;CHAR(64+COLUMN())&amp;(ROW()-4))</f>
        <v>80.884999999999991</v>
      </c>
      <c r="K21" s="43">
        <f t="array" aca="1" ref="K21" ca="1">INDIRECT("'"&amp;$B$3&amp;"'!"&amp;CHAR(64+COLUMN())&amp;(ROW()-4))</f>
        <v>32.011050279104438</v>
      </c>
      <c r="L21" s="43">
        <f t="array" aca="1" ref="L21" ca="1">INDIRECT("'"&amp;$B$3&amp;"'!"&amp;CHAR(64+COLUMN())&amp;(ROW()-4))</f>
        <v>43.123757523576849</v>
      </c>
      <c r="M21" s="43">
        <f t="array" aca="1" ref="M21" ca="1">INDIRECT("'"&amp;$B$3&amp;"'!"&amp;CHAR(64+COLUMN())&amp;(ROW()-4))</f>
        <v>30.848127202910149</v>
      </c>
      <c r="N21" s="43">
        <f t="array" aca="1" ref="N21" ca="1">INDIRECT("'"&amp;$B$3&amp;"'!"&amp;CHAR(64+COLUMN())&amp;(ROW()-4))</f>
        <v>45.041218975592678</v>
      </c>
      <c r="O21" s="43">
        <f t="array" aca="1" ref="O21" ca="1">INDIRECT("'"&amp;$B$3&amp;"'!"&amp;CHAR(64+COLUMN())&amp;(ROW()-4))</f>
        <v>-0.1509051239155389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79.5</v>
      </c>
      <c r="D22" s="43">
        <f t="array" aca="1" ref="D22" ca="1">INDIRECT("'"&amp;$B$3&amp;"'!"&amp;CHAR(64+COLUMN())&amp;(ROW()-4))</f>
        <v>76.400000000000006</v>
      </c>
      <c r="E22" s="43">
        <f t="array" aca="1" ref="E22" ca="1">INDIRECT("'"&amp;$B$3&amp;"'!"&amp;CHAR(64+COLUMN())&amp;(ROW()-4))</f>
        <v>77.400000000000006</v>
      </c>
      <c r="F22" s="43">
        <f t="array" aca="1" ref="F22" ca="1">INDIRECT("'"&amp;$B$3&amp;"'!"&amp;CHAR(64+COLUMN())&amp;(ROW()-4))</f>
        <v>4323</v>
      </c>
      <c r="G22" s="43">
        <f t="array" aca="1" ref="G22" ca="1">INDIRECT("'"&amp;$B$3&amp;"'!"&amp;CHAR(64+COLUMN())&amp;(ROW()-4))</f>
        <v>-1.776649746192883</v>
      </c>
      <c r="H22" s="43">
        <f t="array" aca="1" ref="H22" ca="1">INDIRECT("'"&amp;$B$3&amp;"'!"&amp;CHAR(64+COLUMN())&amp;(ROW()-4))</f>
        <v>81.099999999999994</v>
      </c>
      <c r="I22" s="43">
        <f t="array" aca="1" ref="I22" ca="1">INDIRECT("'"&amp;$B$3&amp;"'!"&amp;CHAR(64+COLUMN())&amp;(ROW()-4))</f>
        <v>81.869999999999976</v>
      </c>
      <c r="J22" s="43">
        <f t="array" aca="1" ref="J22" ca="1">INDIRECT("'"&amp;$B$3&amp;"'!"&amp;CHAR(64+COLUMN())&amp;(ROW()-4))</f>
        <v>80.995000000000005</v>
      </c>
      <c r="K22" s="43">
        <f t="array" aca="1" ref="K22" ca="1">INDIRECT("'"&amp;$B$3&amp;"'!"&amp;CHAR(64+COLUMN())&amp;(ROW()-4))</f>
        <v>27.456637704287768</v>
      </c>
      <c r="L22" s="43">
        <f t="array" aca="1" ref="L22" ca="1">INDIRECT("'"&amp;$B$3&amp;"'!"&amp;CHAR(64+COLUMN())&amp;(ROW()-4))</f>
        <v>39.954977243278378</v>
      </c>
      <c r="M22" s="43">
        <f t="array" aca="1" ref="M22" ca="1">INDIRECT("'"&amp;$B$3&amp;"'!"&amp;CHAR(64+COLUMN())&amp;(ROW()-4))</f>
        <v>24.269121838977131</v>
      </c>
      <c r="N22" s="43">
        <f t="array" aca="1" ref="N22" ca="1">INDIRECT("'"&amp;$B$3&amp;"'!"&amp;CHAR(64+COLUMN())&amp;(ROW()-4))</f>
        <v>38.117186596720828</v>
      </c>
      <c r="O22" s="43">
        <f t="array" aca="1" ref="O22" ca="1">INDIRECT("'"&amp;$B$3&amp;"'!"&amp;CHAR(64+COLUMN())&amp;(ROW()-4))</f>
        <v>-0.44106675227450581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77.400000000000006</v>
      </c>
      <c r="T22" s="55">
        <f ca="1">IF(OR(AND(LEFT($S$15,1)="🔴",RIGHT($S$15,2)="出場"),AND($S$15="🔴 觀望",$S$12="🔴")),ROUND(MAX(H25,E25*(1+N32*1.2)),1),"—")</f>
        <v>78.8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78.2</v>
      </c>
      <c r="D23" s="43">
        <f t="array" aca="1" ref="D23" ca="1">INDIRECT("'"&amp;$B$3&amp;"'!"&amp;CHAR(64+COLUMN())&amp;(ROW()-4))</f>
        <v>76.8</v>
      </c>
      <c r="E23" s="43">
        <f t="array" aca="1" ref="E23" ca="1">INDIRECT("'"&amp;$B$3&amp;"'!"&amp;CHAR(64+COLUMN())&amp;(ROW()-4))</f>
        <v>77</v>
      </c>
      <c r="F23" s="43">
        <f t="array" aca="1" ref="F23" ca="1">INDIRECT("'"&amp;$B$3&amp;"'!"&amp;CHAR(64+COLUMN())&amp;(ROW()-4))</f>
        <v>3232</v>
      </c>
      <c r="G23" s="43">
        <f t="array" aca="1" ref="G23" ca="1">INDIRECT("'"&amp;$B$3&amp;"'!"&amp;CHAR(64+COLUMN())&amp;(ROW()-4))</f>
        <v>-0.51679586563308222</v>
      </c>
      <c r="H23" s="43">
        <f t="array" aca="1" ref="H23" ca="1">INDIRECT("'"&amp;$B$3&amp;"'!"&amp;CHAR(64+COLUMN())&amp;(ROW()-4))</f>
        <v>79.78</v>
      </c>
      <c r="I23" s="43">
        <f t="array" aca="1" ref="I23" ca="1">INDIRECT("'"&amp;$B$3&amp;"'!"&amp;CHAR(64+COLUMN())&amp;(ROW()-4))</f>
        <v>81.400000000000006</v>
      </c>
      <c r="J23" s="43">
        <f t="array" aca="1" ref="J23" ca="1">INDIRECT("'"&amp;$B$3&amp;"'!"&amp;CHAR(64+COLUMN())&amp;(ROW()-4))</f>
        <v>80.944999999999993</v>
      </c>
      <c r="K23" s="43">
        <f t="array" aca="1" ref="K23" ca="1">INDIRECT("'"&amp;$B$3&amp;"'!"&amp;CHAR(64+COLUMN())&amp;(ROW()-4))</f>
        <v>26.179586164114681</v>
      </c>
      <c r="L23" s="43">
        <f t="array" aca="1" ref="L23" ca="1">INDIRECT("'"&amp;$B$3&amp;"'!"&amp;CHAR(64+COLUMN())&amp;(ROW()-4))</f>
        <v>39.060370019075641</v>
      </c>
      <c r="M23" s="43">
        <f t="array" aca="1" ref="M23" ca="1">INDIRECT("'"&amp;$B$3&amp;"'!"&amp;CHAR(64+COLUMN())&amp;(ROW()-4))</f>
        <v>18.40163678154029</v>
      </c>
      <c r="N23" s="43">
        <f t="array" aca="1" ref="N23" ca="1">INDIRECT("'"&amp;$B$3&amp;"'!"&amp;CHAR(64+COLUMN())&amp;(ROW()-4))</f>
        <v>31.545336658327319</v>
      </c>
      <c r="O23" s="43">
        <f t="array" aca="1" ref="O23" ca="1">INDIRECT("'"&amp;$B$3&amp;"'!"&amp;CHAR(64+COLUMN())&amp;(ROW()-4))</f>
        <v>-0.63183910270672416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79.2</v>
      </c>
      <c r="T23" s="59">
        <f ca="1">IF(OR(AND(LEFT($S$15,1)="🔴",RIGHT($S$15,2)="出場"),AND($S$15="🔴 觀望",$S$12="🔴")),ROUND(MAX(I25,E25*(1+N32*1.8)),1),"—")</f>
        <v>80.2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78.5</v>
      </c>
      <c r="D24" s="43">
        <f t="array" aca="1" ref="D24" ca="1">INDIRECT("'"&amp;$B$3&amp;"'!"&amp;CHAR(64+COLUMN())&amp;(ROW()-4))</f>
        <v>76.599999999999994</v>
      </c>
      <c r="E24" s="43">
        <f t="array" aca="1" ref="E24" ca="1">INDIRECT("'"&amp;$B$3&amp;"'!"&amp;CHAR(64+COLUMN())&amp;(ROW()-4))</f>
        <v>77.2</v>
      </c>
      <c r="F24" s="43">
        <f t="array" aca="1" ref="F24" ca="1">INDIRECT("'"&amp;$B$3&amp;"'!"&amp;CHAR(64+COLUMN())&amp;(ROW()-4))</f>
        <v>2483</v>
      </c>
      <c r="G24" s="43">
        <f t="array" aca="1" ref="G24" ca="1">INDIRECT("'"&amp;$B$3&amp;"'!"&amp;CHAR(64+COLUMN())&amp;(ROW()-4))</f>
        <v>0.25974025974026338</v>
      </c>
      <c r="H24" s="43">
        <f t="array" aca="1" ref="H24" ca="1">INDIRECT("'"&amp;$B$3&amp;"'!"&amp;CHAR(64+COLUMN())&amp;(ROW()-4))</f>
        <v>78.36</v>
      </c>
      <c r="I24" s="43">
        <f t="array" aca="1" ref="I24" ca="1">INDIRECT("'"&amp;$B$3&amp;"'!"&amp;CHAR(64+COLUMN())&amp;(ROW()-4))</f>
        <v>80.87</v>
      </c>
      <c r="J24" s="43">
        <f t="array" aca="1" ref="J24" ca="1">INDIRECT("'"&amp;$B$3&amp;"'!"&amp;CHAR(64+COLUMN())&amp;(ROW()-4))</f>
        <v>80.98</v>
      </c>
      <c r="K24" s="43">
        <f t="array" aca="1" ref="K24" ca="1">INDIRECT("'"&amp;$B$3&amp;"'!"&amp;CHAR(64+COLUMN())&amp;(ROW()-4))</f>
        <v>28.183758194108041</v>
      </c>
      <c r="L24" s="43">
        <f t="array" aca="1" ref="L24" ca="1">INDIRECT("'"&amp;$B$3&amp;"'!"&amp;CHAR(64+COLUMN())&amp;(ROW()-4))</f>
        <v>39.795641985730171</v>
      </c>
      <c r="M24" s="43">
        <f t="array" aca="1" ref="M24" ca="1">INDIRECT("'"&amp;$B$3&amp;"'!"&amp;CHAR(64+COLUMN())&amp;(ROW()-4))</f>
        <v>15.230720817323141</v>
      </c>
      <c r="N24" s="43">
        <f t="array" aca="1" ref="N24" ca="1">INDIRECT("'"&amp;$B$3&amp;"'!"&amp;CHAR(64+COLUMN())&amp;(ROW()-4))</f>
        <v>26.107131377992591</v>
      </c>
      <c r="O24" s="43">
        <f t="array" aca="1" ref="O24" ca="1">INDIRECT("'"&amp;$B$3&amp;"'!"&amp;CHAR(64+COLUMN())&amp;(ROW()-4))</f>
        <v>-0.71058488996514191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80.400000000000006</v>
      </c>
      <c r="T24" s="61">
        <f ca="1">IF(OR(AND(LEFT($S$15,1)="🔴",RIGHT($S$15,2)="出場"),AND($S$15="🔴 觀望",$S$12="🔴")),ROUND(E25*(1+N32*2.4),1),"—")</f>
        <v>81.2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78.2</v>
      </c>
      <c r="D25" s="43">
        <f t="array" aca="1" ref="D25" ca="1">INDIRECT("'"&amp;$B$3&amp;"'!"&amp;CHAR(64+COLUMN())&amp;(ROW()-4))</f>
        <v>76.5</v>
      </c>
      <c r="E25" s="43">
        <f t="array" aca="1" ref="E25" ca="1">INDIRECT("'"&amp;$B$3&amp;"'!"&amp;CHAR(64+COLUMN())&amp;(ROW()-4))</f>
        <v>76.5</v>
      </c>
      <c r="F25" s="43">
        <f t="array" aca="1" ref="F25" ca="1">INDIRECT("'"&amp;$B$3&amp;"'!"&amp;CHAR(64+COLUMN())&amp;(ROW()-4))</f>
        <v>1915</v>
      </c>
      <c r="G25" s="43">
        <f t="array" aca="1" ref="G25" ca="1">INDIRECT("'"&amp;$B$3&amp;"'!"&amp;CHAR(64+COLUMN())&amp;(ROW()-4))</f>
        <v>-0.90673575129534034</v>
      </c>
      <c r="H25" s="43">
        <f t="array" aca="1" ref="H25" ca="1">INDIRECT("'"&amp;$B$3&amp;"'!"&amp;CHAR(64+COLUMN())&amp;(ROW()-4))</f>
        <v>77.38</v>
      </c>
      <c r="I25" s="43">
        <f t="array" aca="1" ref="I25" ca="1">INDIRECT("'"&amp;$B$3&amp;"'!"&amp;CHAR(64+COLUMN())&amp;(ROW()-4))</f>
        <v>80.17</v>
      </c>
      <c r="J25" s="43">
        <f t="array" aca="1" ref="J25" ca="1">INDIRECT("'"&amp;$B$3&amp;"'!"&amp;CHAR(64+COLUMN())&amp;(ROW()-4))</f>
        <v>81.055000000000007</v>
      </c>
      <c r="K25" s="43">
        <f t="array" aca="1" ref="K25" ca="1">INDIRECT("'"&amp;$B$3&amp;"'!"&amp;CHAR(64+COLUMN())&amp;(ROW()-4))</f>
        <v>25.29898955860169</v>
      </c>
      <c r="L25" s="43">
        <f t="array" aca="1" ref="L25" ca="1">INDIRECT("'"&amp;$B$3&amp;"'!"&amp;CHAR(64+COLUMN())&amp;(ROW()-4))</f>
        <v>38.043052672885523</v>
      </c>
      <c r="M25" s="43">
        <f t="array" aca="1" ref="M25" ca="1">INDIRECT("'"&amp;$B$3&amp;"'!"&amp;CHAR(64+COLUMN())&amp;(ROW()-4))</f>
        <v>10.545970740960501</v>
      </c>
      <c r="N25" s="43">
        <f t="array" aca="1" ref="N25" ca="1">INDIRECT("'"&amp;$B$3&amp;"'!"&amp;CHAR(64+COLUMN())&amp;(ROW()-4))</f>
        <v>20.920077832315229</v>
      </c>
      <c r="O25" s="43">
        <f t="array" aca="1" ref="O25" ca="1">INDIRECT("'"&amp;$B$3&amp;"'!"&amp;CHAR(64+COLUMN())&amp;(ROW()-4))</f>
        <v>-0.77080294418718265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76.5、σ=2.53%）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74.599999999999994</v>
      </c>
      <c r="S27" s="69">
        <f ca="1">ROUND((E25*(1-N32)-E25)/E25,4)</f>
        <v>-2.53E-2</v>
      </c>
      <c r="T27" s="70" t="str">
        <f ca="1">"再跌 "&amp;TEXT(ABS((E25*(1-N32)-E25)/E25),"0.0%")&amp;" 至 "&amp;TEXT(E25*(1-N32),"0.0")&amp;" 進入積極買進區"</f>
        <v>再跌 2.5% 至 74.6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87.5</v>
      </c>
      <c r="Q28" s="71" t="s">
        <v>129</v>
      </c>
      <c r="R28" s="72">
        <f ca="1">ROUND(MAX(H25,E25*(1+N32)),1)</f>
        <v>78.400000000000006</v>
      </c>
      <c r="S28" s="73">
        <f ca="1">ROUND((MAX(H25,E25*(1+N32))-E25)/E25,4)</f>
        <v>2.53E-2</v>
      </c>
      <c r="T28" s="74" t="str">
        <f ca="1">"再漲 "&amp;TEXT(ABS((MAX(H25,E25*(1+N32))-E25)/E25),"0.0%")&amp;" 至 "&amp;TEXT(MAX(H25,E25*(1+N32)),"0.0")&amp;" 進入反彈賣出區"</f>
        <v>再漲 2.5% 至 78.4 進入反彈賣出區</v>
      </c>
    </row>
    <row r="29" spans="1:20" x14ac:dyDescent="0.2">
      <c r="A29" s="1" t="s">
        <v>130</v>
      </c>
      <c r="B29" s="8">
        <v>1.02</v>
      </c>
      <c r="C29" s="8">
        <v>1.1299999999999999</v>
      </c>
      <c r="D29" s="8">
        <v>1</v>
      </c>
      <c r="E29" s="8">
        <v>0.89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75.900000000000006</v>
      </c>
    </row>
    <row r="30" spans="1:20" ht="16" customHeight="1" x14ac:dyDescent="0.2">
      <c r="A30" s="1" t="s">
        <v>132</v>
      </c>
      <c r="B30" s="107">
        <v>4.04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81.055000000000007</v>
      </c>
    </row>
    <row r="31" spans="1:20" x14ac:dyDescent="0.2">
      <c r="A31" s="9" t="s">
        <v>134</v>
      </c>
      <c r="B31" t="s">
        <v>95</v>
      </c>
      <c r="C31" s="11">
        <v>0.1078431372549018</v>
      </c>
      <c r="D31" s="10">
        <v>-0.11504424778761051</v>
      </c>
      <c r="E31" s="10">
        <v>-0.11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-1.3054830287205525E-3</v>
      </c>
    </row>
    <row r="32" spans="1:20" x14ac:dyDescent="0.2">
      <c r="A32" s="110" t="s">
        <v>168</v>
      </c>
      <c r="B32" s="106"/>
      <c r="C32" s="106"/>
      <c r="D32" s="106"/>
      <c r="E32" s="106"/>
      <c r="M32" s="1" t="s">
        <v>137</v>
      </c>
      <c r="N32" s="23">
        <f ca="1">STDEV(G7:G25)/100</f>
        <v>2.5331672864768926E-2</v>
      </c>
    </row>
    <row r="33" spans="1:14" ht="17" customHeight="1" x14ac:dyDescent="0.2">
      <c r="A33" s="108" t="s">
        <v>169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76.5</v>
      </c>
    </row>
    <row r="34" spans="1:14" x14ac:dyDescent="0.2">
      <c r="A34" t="s">
        <v>141</v>
      </c>
      <c r="B34" s="26">
        <v>2.5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53.24</v>
      </c>
      <c r="G35" t="s">
        <v>146</v>
      </c>
      <c r="H35" s="27">
        <f>B36*B30</f>
        <v>40.4</v>
      </c>
      <c r="I35" s="27">
        <f>C36*B30</f>
        <v>60.6</v>
      </c>
      <c r="J35" s="27">
        <f>D36*B30</f>
        <v>88.88</v>
      </c>
    </row>
    <row r="36" spans="1:14" ht="17" customHeight="1" x14ac:dyDescent="0.2">
      <c r="A36" t="s">
        <v>147</v>
      </c>
      <c r="B36" s="26">
        <v>10</v>
      </c>
      <c r="C36" s="26">
        <v>15</v>
      </c>
      <c r="D36" s="26">
        <v>22</v>
      </c>
      <c r="G36" t="s">
        <v>148</v>
      </c>
      <c r="H36" s="27">
        <f>B37*B35</f>
        <v>63.887999999999998</v>
      </c>
      <c r="I36" s="27">
        <f>C37*B35</f>
        <v>106.48</v>
      </c>
      <c r="J36" s="27">
        <f>D37*B35</f>
        <v>159.72</v>
      </c>
    </row>
    <row r="37" spans="1:14" ht="17" customHeight="1" x14ac:dyDescent="0.2">
      <c r="A37" t="s">
        <v>149</v>
      </c>
      <c r="B37" s="26">
        <v>1.2</v>
      </c>
      <c r="C37" s="26">
        <v>2</v>
      </c>
      <c r="D37" s="26">
        <v>3</v>
      </c>
      <c r="G37" t="s">
        <v>150</v>
      </c>
      <c r="H37" s="27">
        <f>B34/B38</f>
        <v>50</v>
      </c>
      <c r="I37" s="27">
        <f>B34/C38</f>
        <v>65.789473684210535</v>
      </c>
      <c r="J37" s="27">
        <f>B34/D38</f>
        <v>89.285714285714278</v>
      </c>
    </row>
    <row r="38" spans="1:14" ht="17" customHeight="1" x14ac:dyDescent="0.25">
      <c r="A38" s="40" t="s">
        <v>151</v>
      </c>
      <c r="B38" s="37">
        <v>0.05</v>
      </c>
      <c r="C38" s="37">
        <v>3.7999999999999999E-2</v>
      </c>
      <c r="D38" s="37">
        <v>2.8000000000000001E-2</v>
      </c>
      <c r="G38" s="29" t="s">
        <v>152</v>
      </c>
      <c r="H38" s="38">
        <f>AVERAGE(H35,H36,H37)</f>
        <v>51.429333333333339</v>
      </c>
      <c r="I38" s="38">
        <f>AVERAGE(I35,I36,I37)</f>
        <v>77.623157894736849</v>
      </c>
      <c r="J38" s="39">
        <f>AVERAGE(J35,J36,J37)</f>
        <v>112.62857142857142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5" priority="1" operator="lessThan">
      <formula>0</formula>
    </cfRule>
  </conditionalFormatting>
  <conditionalFormatting sqref="O6:O25">
    <cfRule type="cellIs" dxfId="14" priority="2" operator="lessThan">
      <formula>0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9"/>
  <sheetViews>
    <sheetView workbookViewId="0">
      <pane ySplit="5" topLeftCell="A6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8.3320312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8320312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170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167</v>
      </c>
    </row>
    <row r="3" spans="1:20" x14ac:dyDescent="0.2">
      <c r="A3" s="1" t="s">
        <v>2</v>
      </c>
      <c r="B3" s="2">
        <v>6285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184.5</v>
      </c>
      <c r="D6" s="43">
        <f t="array" aca="1" ref="D6" ca="1">INDIRECT("'"&amp;$B$3&amp;"'!"&amp;CHAR(64+COLUMN())&amp;(ROW()-4))</f>
        <v>176</v>
      </c>
      <c r="E6" s="43">
        <f t="array" aca="1" ref="E6" ca="1">INDIRECT("'"&amp;$B$3&amp;"'!"&amp;CHAR(64+COLUMN())&amp;(ROW()-4))</f>
        <v>178</v>
      </c>
      <c r="F6" s="43">
        <f t="array" aca="1" ref="F6" ca="1">INDIRECT("'"&amp;$B$3&amp;"'!"&amp;CHAR(64+COLUMN())&amp;(ROW()-4))</f>
        <v>24963</v>
      </c>
      <c r="G6" s="43">
        <f t="array" aca="1" ref="G6" ca="1">INDIRECT("'"&amp;$B$3&amp;"'!"&amp;CHAR(64+COLUMN())&amp;(ROW()-4))</f>
        <v>4.7058823529411766</v>
      </c>
      <c r="H6" s="43">
        <f t="array" aca="1" ref="H6" ca="1">INDIRECT("'"&amp;$B$3&amp;"'!"&amp;CHAR(64+COLUMN())&amp;(ROW()-4))</f>
        <v>177.5</v>
      </c>
      <c r="I6" s="43">
        <f t="array" aca="1" ref="I6" ca="1">INDIRECT("'"&amp;$B$3&amp;"'!"&amp;CHAR(64+COLUMN())&amp;(ROW()-4))</f>
        <v>174.7</v>
      </c>
      <c r="J6" s="43">
        <f t="array" aca="1" ref="J6" ca="1">INDIRECT("'"&amp;$B$3&amp;"'!"&amp;CHAR(64+COLUMN())&amp;(ROW()-4))</f>
        <v>170.47499999999999</v>
      </c>
      <c r="K6" s="43">
        <f t="array" aca="1" ref="K6" ca="1">INDIRECT("'"&amp;$B$3&amp;"'!"&amp;CHAR(64+COLUMN())&amp;(ROW()-4))</f>
        <v>53.845097192366069</v>
      </c>
      <c r="L6" s="43">
        <f t="array" aca="1" ref="L6" ca="1">INDIRECT("'"&amp;$B$3&amp;"'!"&amp;CHAR(64+COLUMN())&amp;(ROW()-4))</f>
        <v>53.814143418112288</v>
      </c>
      <c r="M6" s="43">
        <f t="array" aca="1" ref="M6" ca="1">INDIRECT("'"&amp;$B$3&amp;"'!"&amp;CHAR(64+COLUMN())&amp;(ROW()-4))</f>
        <v>51.016567105926931</v>
      </c>
      <c r="N6" s="43">
        <f t="array" aca="1" ref="N6" ca="1">INDIRECT("'"&amp;$B$3&amp;"'!"&amp;CHAR(64+COLUMN())&amp;(ROW()-4))</f>
        <v>54.814822664041387</v>
      </c>
      <c r="O6" s="43">
        <f t="array" aca="1" ref="O6" ca="1">INDIRECT("'"&amp;$B$3&amp;"'!"&amp;CHAR(64+COLUMN())&amp;(ROW()-4))</f>
        <v>-0.17596901659281089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185</v>
      </c>
      <c r="D7" s="43">
        <f t="array" aca="1" ref="D7" ca="1">INDIRECT("'"&amp;$B$3&amp;"'!"&amp;CHAR(64+COLUMN())&amp;(ROW()-4))</f>
        <v>176</v>
      </c>
      <c r="E7" s="43">
        <f t="array" aca="1" ref="E7" ca="1">INDIRECT("'"&amp;$B$3&amp;"'!"&amp;CHAR(64+COLUMN())&amp;(ROW()-4))</f>
        <v>179.5</v>
      </c>
      <c r="F7" s="43">
        <f t="array" aca="1" ref="F7" ca="1">INDIRECT("'"&amp;$B$3&amp;"'!"&amp;CHAR(64+COLUMN())&amp;(ROW()-4))</f>
        <v>26648</v>
      </c>
      <c r="G7" s="43">
        <f t="array" aca="1" ref="G7" ca="1">INDIRECT("'"&amp;$B$3&amp;"'!"&amp;CHAR(64+COLUMN())&amp;(ROW()-4))</f>
        <v>0.84269662921348309</v>
      </c>
      <c r="H7" s="43">
        <f t="array" aca="1" ref="H7" ca="1">INDIRECT("'"&amp;$B$3&amp;"'!"&amp;CHAR(64+COLUMN())&amp;(ROW()-4))</f>
        <v>179</v>
      </c>
      <c r="I7" s="43">
        <f t="array" aca="1" ref="I7" ca="1">INDIRECT("'"&amp;$B$3&amp;"'!"&amp;CHAR(64+COLUMN())&amp;(ROW()-4))</f>
        <v>175.35</v>
      </c>
      <c r="J7" s="43">
        <f t="array" aca="1" ref="J7" ca="1">INDIRECT("'"&amp;$B$3&amp;"'!"&amp;CHAR(64+COLUMN())&amp;(ROW()-4))</f>
        <v>171.22499999999999</v>
      </c>
      <c r="K7" s="43">
        <f t="array" aca="1" ref="K7" ca="1">INDIRECT("'"&amp;$B$3&amp;"'!"&amp;CHAR(64+COLUMN())&amp;(ROW()-4))</f>
        <v>55.516260604227938</v>
      </c>
      <c r="L7" s="43">
        <f t="array" aca="1" ref="L7" ca="1">INDIRECT("'"&amp;$B$3&amp;"'!"&amp;CHAR(64+COLUMN())&amp;(ROW()-4))</f>
        <v>54.701962526829917</v>
      </c>
      <c r="M7" s="43">
        <f t="array" aca="1" ref="M7" ca="1">INDIRECT("'"&amp;$B$3&amp;"'!"&amp;CHAR(64+COLUMN())&amp;(ROW()-4))</f>
        <v>53.88283960907949</v>
      </c>
      <c r="N7" s="43">
        <f t="array" aca="1" ref="N7" ca="1">INDIRECT("'"&amp;$B$3&amp;"'!"&amp;CHAR(64+COLUMN())&amp;(ROW()-4))</f>
        <v>54.50416164572075</v>
      </c>
      <c r="O7" s="43">
        <f t="array" aca="1" ref="O7" ca="1">INDIRECT("'"&amp;$B$3&amp;"'!"&amp;CHAR(64+COLUMN())&amp;(ROW()-4))</f>
        <v>-4.4619736291254597E-2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197</v>
      </c>
      <c r="D8" s="43">
        <f t="array" aca="1" ref="D8" ca="1">INDIRECT("'"&amp;$B$3&amp;"'!"&amp;CHAR(64+COLUMN())&amp;(ROW()-4))</f>
        <v>181.5</v>
      </c>
      <c r="E8" s="43">
        <f t="array" aca="1" ref="E8" ca="1">INDIRECT("'"&amp;$B$3&amp;"'!"&amp;CHAR(64+COLUMN())&amp;(ROW()-4))</f>
        <v>197</v>
      </c>
      <c r="F8" s="43">
        <f t="array" aca="1" ref="F8" ca="1">INDIRECT("'"&amp;$B$3&amp;"'!"&amp;CHAR(64+COLUMN())&amp;(ROW()-4))</f>
        <v>37637</v>
      </c>
      <c r="G8" s="43">
        <f t="array" aca="1" ref="G8" ca="1">INDIRECT("'"&amp;$B$3&amp;"'!"&amp;CHAR(64+COLUMN())&amp;(ROW()-4))</f>
        <v>9.7493036211699167</v>
      </c>
      <c r="H8" s="43">
        <f t="array" aca="1" ref="H8" ca="1">INDIRECT("'"&amp;$B$3&amp;"'!"&amp;CHAR(64+COLUMN())&amp;(ROW()-4))</f>
        <v>180.7</v>
      </c>
      <c r="I8" s="43">
        <f t="array" aca="1" ref="I8" ca="1">INDIRECT("'"&amp;$B$3&amp;"'!"&amp;CHAR(64+COLUMN())&amp;(ROW()-4))</f>
        <v>177.7</v>
      </c>
      <c r="J8" s="43">
        <f t="array" aca="1" ref="J8" ca="1">INDIRECT("'"&amp;$B$3&amp;"'!"&amp;CHAR(64+COLUMN())&amp;(ROW()-4))</f>
        <v>172.77500000000001</v>
      </c>
      <c r="K8" s="43">
        <f t="array" aca="1" ref="K8" ca="1">INDIRECT("'"&amp;$B$3&amp;"'!"&amp;CHAR(64+COLUMN())&amp;(ROW()-4))</f>
        <v>70.480121887254185</v>
      </c>
      <c r="L8" s="43">
        <f t="array" aca="1" ref="L8" ca="1">INDIRECT("'"&amp;$B$3&amp;"'!"&amp;CHAR(64+COLUMN())&amp;(ROW()-4))</f>
        <v>63.605895364499837</v>
      </c>
      <c r="M8" s="43">
        <f t="array" aca="1" ref="M8" ca="1">INDIRECT("'"&amp;$B$3&amp;"'!"&amp;CHAR(64+COLUMN())&amp;(ROW()-4))</f>
        <v>69.255226406052984</v>
      </c>
      <c r="N8" s="43">
        <f t="array" aca="1" ref="N8" ca="1">INDIRECT("'"&amp;$B$3&amp;"'!"&amp;CHAR(64+COLUMN())&amp;(ROW()-4))</f>
        <v>59.421183232498151</v>
      </c>
      <c r="O8" s="43">
        <f t="array" aca="1" ref="O8" ca="1">INDIRECT("'"&amp;$B$3&amp;"'!"&amp;CHAR(64+COLUMN())&amp;(ROW()-4))</f>
        <v>1.123187904692257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MA10=229.1  MA20=224.8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216.5</v>
      </c>
      <c r="D9" s="43">
        <f t="array" aca="1" ref="D9" ca="1">INDIRECT("'"&amp;$B$3&amp;"'!"&amp;CHAR(64+COLUMN())&amp;(ROW()-4))</f>
        <v>201.5</v>
      </c>
      <c r="E9" s="43">
        <f t="array" aca="1" ref="E9" ca="1">INDIRECT("'"&amp;$B$3&amp;"'!"&amp;CHAR(64+COLUMN())&amp;(ROW()-4))</f>
        <v>216.5</v>
      </c>
      <c r="F9" s="43">
        <f t="array" aca="1" ref="F9" ca="1">INDIRECT("'"&amp;$B$3&amp;"'!"&amp;CHAR(64+COLUMN())&amp;(ROW()-4))</f>
        <v>67261</v>
      </c>
      <c r="G9" s="43">
        <f t="array" aca="1" ref="G9" ca="1">INDIRECT("'"&amp;$B$3&amp;"'!"&amp;CHAR(64+COLUMN())&amp;(ROW()-4))</f>
        <v>9.8984771573604071</v>
      </c>
      <c r="H9" s="43">
        <f t="array" aca="1" ref="H9" ca="1">INDIRECT("'"&amp;$B$3&amp;"'!"&amp;CHAR(64+COLUMN())&amp;(ROW()-4))</f>
        <v>188.2</v>
      </c>
      <c r="I9" s="43">
        <f t="array" aca="1" ref="I9" ca="1">INDIRECT("'"&amp;$B$3&amp;"'!"&amp;CHAR(64+COLUMN())&amp;(ROW()-4))</f>
        <v>182.75</v>
      </c>
      <c r="J9" s="43">
        <f t="array" aca="1" ref="J9" ca="1">INDIRECT("'"&amp;$B$3&amp;"'!"&amp;CHAR(64+COLUMN())&amp;(ROW()-4))</f>
        <v>176</v>
      </c>
      <c r="K9" s="43">
        <f t="array" aca="1" ref="K9" ca="1">INDIRECT("'"&amp;$B$3&amp;"'!"&amp;CHAR(64+COLUMN())&amp;(ROW()-4))</f>
        <v>79.638665722299379</v>
      </c>
      <c r="L9" s="43">
        <f t="array" aca="1" ref="L9" ca="1">INDIRECT("'"&amp;$B$3&amp;"'!"&amp;CHAR(64+COLUMN())&amp;(ROW()-4))</f>
        <v>70.624788294981215</v>
      </c>
      <c r="M9" s="43">
        <f t="array" aca="1" ref="M9" ca="1">INDIRECT("'"&amp;$B$3&amp;"'!"&amp;CHAR(64+COLUMN())&amp;(ROW()-4))</f>
        <v>79.503484270701989</v>
      </c>
      <c r="N9" s="43">
        <f t="array" aca="1" ref="N9" ca="1">INDIRECT("'"&amp;$B$3&amp;"'!"&amp;CHAR(64+COLUMN())&amp;(ROW()-4))</f>
        <v>66.115283578566093</v>
      </c>
      <c r="O9" s="43">
        <f t="array" aca="1" ref="O9" ca="1">INDIRECT("'"&amp;$B$3&amp;"'!"&amp;CHAR(64+COLUMN())&amp;(ROW()-4))</f>
        <v>3.0044845155679911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KD金叉:✗(K=23)  RSI6:43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229</v>
      </c>
      <c r="D10" s="43">
        <f t="array" aca="1" ref="D10" ca="1">INDIRECT("'"&amp;$B$3&amp;"'!"&amp;CHAR(64+COLUMN())&amp;(ROW()-4))</f>
        <v>213.5</v>
      </c>
      <c r="E10" s="43">
        <f t="array" aca="1" ref="E10" ca="1">INDIRECT("'"&amp;$B$3&amp;"'!"&amp;CHAR(64+COLUMN())&amp;(ROW()-4))</f>
        <v>226</v>
      </c>
      <c r="F10" s="43">
        <f t="array" aca="1" ref="F10" ca="1">INDIRECT("'"&amp;$B$3&amp;"'!"&amp;CHAR(64+COLUMN())&amp;(ROW()-4))</f>
        <v>57691</v>
      </c>
      <c r="G10" s="43">
        <f t="array" aca="1" ref="G10" ca="1">INDIRECT("'"&amp;$B$3&amp;"'!"&amp;CHAR(64+COLUMN())&amp;(ROW()-4))</f>
        <v>4.3879907621247112</v>
      </c>
      <c r="H10" s="43">
        <f t="array" aca="1" ref="H10" ca="1">INDIRECT("'"&amp;$B$3&amp;"'!"&amp;CHAR(64+COLUMN())&amp;(ROW()-4))</f>
        <v>199.4</v>
      </c>
      <c r="I10" s="43">
        <f t="array" aca="1" ref="I10" ca="1">INDIRECT("'"&amp;$B$3&amp;"'!"&amp;CHAR(64+COLUMN())&amp;(ROW()-4))</f>
        <v>188.65</v>
      </c>
      <c r="J10" s="43">
        <f t="array" aca="1" ref="J10" ca="1">INDIRECT("'"&amp;$B$3&amp;"'!"&amp;CHAR(64+COLUMN())&amp;(ROW()-4))</f>
        <v>179.47499999999999</v>
      </c>
      <c r="K10" s="43">
        <f t="array" aca="1" ref="K10" ca="1">INDIRECT("'"&amp;$B$3&amp;"'!"&amp;CHAR(64+COLUMN())&amp;(ROW()-4))</f>
        <v>82.764743989341881</v>
      </c>
      <c r="L10" s="43">
        <f t="array" aca="1" ref="L10" ca="1">INDIRECT("'"&amp;$B$3&amp;"'!"&amp;CHAR(64+COLUMN())&amp;(ROW()-4))</f>
        <v>73.355767240134981</v>
      </c>
      <c r="M10" s="43">
        <f t="array" aca="1" ref="M10" ca="1">INDIRECT("'"&amp;$B$3&amp;"'!"&amp;CHAR(64+COLUMN())&amp;(ROW()-4))</f>
        <v>84.69631191817291</v>
      </c>
      <c r="N10" s="43">
        <f t="array" aca="1" ref="N10" ca="1">INDIRECT("'"&amp;$B$3&amp;"'!"&amp;CHAR(64+COLUMN())&amp;(ROW()-4))</f>
        <v>72.308959691768365</v>
      </c>
      <c r="O10" s="43">
        <f t="array" aca="1" ref="O10" ca="1">INDIRECT("'"&amp;$B$3&amp;"'!"&amp;CHAR(64+COLUMN())&amp;(ROW()-4))</f>
        <v>4.5893370470241353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🟡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今量=16,699  5日均=27,259  比值=0.61x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233</v>
      </c>
      <c r="D11" s="43">
        <f t="array" aca="1" ref="D11" ca="1">INDIRECT("'"&amp;$B$3&amp;"'!"&amp;CHAR(64+COLUMN())&amp;(ROW()-4))</f>
        <v>220.5</v>
      </c>
      <c r="E11" s="43">
        <f t="array" aca="1" ref="E11" ca="1">INDIRECT("'"&amp;$B$3&amp;"'!"&amp;CHAR(64+COLUMN())&amp;(ROW()-4))</f>
        <v>225.5</v>
      </c>
      <c r="F11" s="43">
        <f t="array" aca="1" ref="F11" ca="1">INDIRECT("'"&amp;$B$3&amp;"'!"&amp;CHAR(64+COLUMN())&amp;(ROW()-4))</f>
        <v>31774</v>
      </c>
      <c r="G11" s="43">
        <f t="array" aca="1" ref="G11" ca="1">INDIRECT("'"&amp;$B$3&amp;"'!"&amp;CHAR(64+COLUMN())&amp;(ROW()-4))</f>
        <v>-0.22123893805309741</v>
      </c>
      <c r="H11" s="43">
        <f t="array" aca="1" ref="H11" ca="1">INDIRECT("'"&amp;$B$3&amp;"'!"&amp;CHAR(64+COLUMN())&amp;(ROW()-4))</f>
        <v>208.9</v>
      </c>
      <c r="I11" s="43">
        <f t="array" aca="1" ref="I11" ca="1">INDIRECT("'"&amp;$B$3&amp;"'!"&amp;CHAR(64+COLUMN())&amp;(ROW()-4))</f>
        <v>193.2</v>
      </c>
      <c r="J11" s="43">
        <f t="array" aca="1" ref="J11" ca="1">INDIRECT("'"&amp;$B$3&amp;"'!"&amp;CHAR(64+COLUMN())&amp;(ROW()-4))</f>
        <v>182.57499999999999</v>
      </c>
      <c r="K11" s="43">
        <f t="array" aca="1" ref="K11" ca="1">INDIRECT("'"&amp;$B$3&amp;"'!"&amp;CHAR(64+COLUMN())&amp;(ROW()-4))</f>
        <v>81.969911293980147</v>
      </c>
      <c r="L11" s="43">
        <f t="array" aca="1" ref="L11" ca="1">INDIRECT("'"&amp;$B$3&amp;"'!"&amp;CHAR(64+COLUMN())&amp;(ROW()-4))</f>
        <v>72.966278860316805</v>
      </c>
      <c r="M11" s="43">
        <f t="array" aca="1" ref="M11" ca="1">INDIRECT("'"&amp;$B$3&amp;"'!"&amp;CHAR(64+COLUMN())&amp;(ROW()-4))</f>
        <v>85.951387432628081</v>
      </c>
      <c r="N11" s="43">
        <f t="array" aca="1" ref="N11" ca="1">INDIRECT("'"&amp;$B$3&amp;"'!"&amp;CHAR(64+COLUMN())&amp;(ROW()-4))</f>
        <v>76.85643560538827</v>
      </c>
      <c r="O11" s="43">
        <f t="array" aca="1" ref="O11" ca="1">INDIRECT("'"&amp;$B$3&amp;"'!"&amp;CHAR(64+COLUMN())&amp;(ROW()-4))</f>
        <v>5.2566669183984152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MA10=229.1  中 -8%=198.7  鬆 MA20=224.8  (σ=6.3%)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248</v>
      </c>
      <c r="D12" s="43">
        <f t="array" aca="1" ref="D12" ca="1">INDIRECT("'"&amp;$B$3&amp;"'!"&amp;CHAR(64+COLUMN())&amp;(ROW()-4))</f>
        <v>226</v>
      </c>
      <c r="E12" s="43">
        <f t="array" aca="1" ref="E12" ca="1">INDIRECT("'"&amp;$B$3&amp;"'!"&amp;CHAR(64+COLUMN())&amp;(ROW()-4))</f>
        <v>248</v>
      </c>
      <c r="F12" s="43">
        <f t="array" aca="1" ref="F12" ca="1">INDIRECT("'"&amp;$B$3&amp;"'!"&amp;CHAR(64+COLUMN())&amp;(ROW()-4))</f>
        <v>30392</v>
      </c>
      <c r="G12" s="43">
        <f t="array" aca="1" ref="G12" ca="1">INDIRECT("'"&amp;$B$3&amp;"'!"&amp;CHAR(64+COLUMN())&amp;(ROW()-4))</f>
        <v>9.9778270509977833</v>
      </c>
      <c r="H12" s="43">
        <f t="array" aca="1" ref="H12" ca="1">INDIRECT("'"&amp;$B$3&amp;"'!"&amp;CHAR(64+COLUMN())&amp;(ROW()-4))</f>
        <v>222.6</v>
      </c>
      <c r="I12" s="43">
        <f t="array" aca="1" ref="I12" ca="1">INDIRECT("'"&amp;$B$3&amp;"'!"&amp;CHAR(64+COLUMN())&amp;(ROW()-4))</f>
        <v>200.8</v>
      </c>
      <c r="J12" s="43">
        <f t="array" aca="1" ref="J12" ca="1">INDIRECT("'"&amp;$B$3&amp;"'!"&amp;CHAR(64+COLUMN())&amp;(ROW()-4))</f>
        <v>186.6</v>
      </c>
      <c r="K12" s="43">
        <f t="array" aca="1" ref="K12" ca="1">INDIRECT("'"&amp;$B$3&amp;"'!"&amp;CHAR(64+COLUMN())&amp;(ROW()-4))</f>
        <v>88.127085558622781</v>
      </c>
      <c r="L12" s="43">
        <f t="array" aca="1" ref="L12" ca="1">INDIRECT("'"&amp;$B$3&amp;"'!"&amp;CHAR(64+COLUMN())&amp;(ROW()-4))</f>
        <v>78.55576490204686</v>
      </c>
      <c r="M12" s="43">
        <f t="array" aca="1" ref="M12" ca="1">INDIRECT("'"&amp;$B$3&amp;"'!"&amp;CHAR(64+COLUMN())&amp;(ROW()-4))</f>
        <v>90.634258288418721</v>
      </c>
      <c r="N12" s="43">
        <f t="array" aca="1" ref="N12" ca="1">INDIRECT("'"&amp;$B$3&amp;"'!"&amp;CHAR(64+COLUMN())&amp;(ROW()-4))</f>
        <v>81.449043166398411</v>
      </c>
      <c r="O12" s="43">
        <f t="array" aca="1" ref="O12" ca="1">INDIRECT("'"&amp;$B$3&amp;"'!"&amp;CHAR(64+COLUMN())&amp;(ROW()-4))</f>
        <v>6.7697540878182672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🟢</v>
      </c>
      <c r="T12" t="str">
        <f ca="1">"收盤="&amp;TEXT(E25,"0.0")&amp;"  MA5="&amp;TEXT(H25,"0.0")&amp;IF(E25&gt;H25,"  守穩",IF(AND(E25&lt;H25,E24&lt;H24),"  連2日跌破","  單日跌破(警示)"))</f>
        <v>收盤=216.0  MA5=213.3  守穩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251</v>
      </c>
      <c r="D13" s="43">
        <f t="array" aca="1" ref="D13" ca="1">INDIRECT("'"&amp;$B$3&amp;"'!"&amp;CHAR(64+COLUMN())&amp;(ROW()-4))</f>
        <v>224</v>
      </c>
      <c r="E13" s="43">
        <f t="array" aca="1" ref="E13" ca="1">INDIRECT("'"&amp;$B$3&amp;"'!"&amp;CHAR(64+COLUMN())&amp;(ROW()-4))</f>
        <v>224</v>
      </c>
      <c r="F13" s="43">
        <f t="array" aca="1" ref="F13" ca="1">INDIRECT("'"&amp;$B$3&amp;"'!"&amp;CHAR(64+COLUMN())&amp;(ROW()-4))</f>
        <v>60205</v>
      </c>
      <c r="G13" s="43">
        <f t="array" aca="1" ref="G13" ca="1">INDIRECT("'"&amp;$B$3&amp;"'!"&amp;CHAR(64+COLUMN())&amp;(ROW()-4))</f>
        <v>-9.67741935483871</v>
      </c>
      <c r="H13" s="43">
        <f t="array" aca="1" ref="H13" ca="1">INDIRECT("'"&amp;$B$3&amp;"'!"&amp;CHAR(64+COLUMN())&amp;(ROW()-4))</f>
        <v>228</v>
      </c>
      <c r="I13" s="43">
        <f t="array" aca="1" ref="I13" ca="1">INDIRECT("'"&amp;$B$3&amp;"'!"&amp;CHAR(64+COLUMN())&amp;(ROW()-4))</f>
        <v>204.35</v>
      </c>
      <c r="J13" s="43">
        <f t="array" aca="1" ref="J13" ca="1">INDIRECT("'"&amp;$B$3&amp;"'!"&amp;CHAR(64+COLUMN())&amp;(ROW()-4))</f>
        <v>189.42500000000001</v>
      </c>
      <c r="K13" s="43">
        <f t="array" aca="1" ref="K13" ca="1">INDIRECT("'"&amp;$B$3&amp;"'!"&amp;CHAR(64+COLUMN())&amp;(ROW()-4))</f>
        <v>61.322315031476762</v>
      </c>
      <c r="L13" s="43">
        <f t="array" aca="1" ref="L13" ca="1">INDIRECT("'"&amp;$B$3&amp;"'!"&amp;CHAR(64+COLUMN())&amp;(ROW()-4))</f>
        <v>63.321131795721051</v>
      </c>
      <c r="M13" s="43">
        <f t="array" aca="1" ref="M13" ca="1">INDIRECT("'"&amp;$B$3&amp;"'!"&amp;CHAR(64+COLUMN())&amp;(ROW()-4))</f>
        <v>82.912798698303234</v>
      </c>
      <c r="N13" s="43">
        <f t="array" aca="1" ref="N13" ca="1">INDIRECT("'"&amp;$B$3&amp;"'!"&amp;CHAR(64+COLUMN())&amp;(ROW()-4))</f>
        <v>81.936961677033352</v>
      </c>
      <c r="O13" s="43">
        <f t="array" aca="1" ref="O13" ca="1">INDIRECT("'"&amp;$B$3&amp;"'!"&amp;CHAR(64+COLUMN())&amp;(ROW()-4))</f>
        <v>5.7506760104644714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KD高死叉:✗  破MA20:✓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245</v>
      </c>
      <c r="D14" s="43">
        <f t="array" aca="1" ref="D14" ca="1">INDIRECT("'"&amp;$B$3&amp;"'!"&amp;CHAR(64+COLUMN())&amp;(ROW()-4))</f>
        <v>230</v>
      </c>
      <c r="E14" s="43">
        <f t="array" aca="1" ref="E14" ca="1">INDIRECT("'"&amp;$B$3&amp;"'!"&amp;CHAR(64+COLUMN())&amp;(ROW()-4))</f>
        <v>243</v>
      </c>
      <c r="F14" s="43">
        <f t="array" aca="1" ref="F14" ca="1">INDIRECT("'"&amp;$B$3&amp;"'!"&amp;CHAR(64+COLUMN())&amp;(ROW()-4))</f>
        <v>51673</v>
      </c>
      <c r="G14" s="43">
        <f t="array" aca="1" ref="G14" ca="1">INDIRECT("'"&amp;$B$3&amp;"'!"&amp;CHAR(64+COLUMN())&amp;(ROW()-4))</f>
        <v>8.4821428571428577</v>
      </c>
      <c r="H14" s="43">
        <f t="array" aca="1" ref="H14" ca="1">INDIRECT("'"&amp;$B$3&amp;"'!"&amp;CHAR(64+COLUMN())&amp;(ROW()-4))</f>
        <v>233.3</v>
      </c>
      <c r="I14" s="43">
        <f t="array" aca="1" ref="I14" ca="1">INDIRECT("'"&amp;$B$3&amp;"'!"&amp;CHAR(64+COLUMN())&amp;(ROW()-4))</f>
        <v>210.75</v>
      </c>
      <c r="J14" s="43">
        <f t="array" aca="1" ref="J14" ca="1">INDIRECT("'"&amp;$B$3&amp;"'!"&amp;CHAR(64+COLUMN())&amp;(ROW()-4))</f>
        <v>192.82499999999999</v>
      </c>
      <c r="K14" s="43">
        <f t="array" aca="1" ref="K14" ca="1">INDIRECT("'"&amp;$B$3&amp;"'!"&amp;CHAR(64+COLUMN())&amp;(ROW()-4))</f>
        <v>69.992929710260171</v>
      </c>
      <c r="L14" s="43">
        <f t="array" aca="1" ref="L14" ca="1">INDIRECT("'"&amp;$B$3&amp;"'!"&amp;CHAR(64+COLUMN())&amp;(ROW()-4))</f>
        <v>68.583099669929624</v>
      </c>
      <c r="M14" s="43">
        <f t="array" aca="1" ref="M14" ca="1">INDIRECT("'"&amp;$B$3&amp;"'!"&amp;CHAR(64+COLUMN())&amp;(ROW()-4))</f>
        <v>85.052976909979932</v>
      </c>
      <c r="N14" s="43">
        <f t="array" aca="1" ref="N14" ca="1">INDIRECT("'"&amp;$B$3&amp;"'!"&amp;CHAR(64+COLUMN())&amp;(ROW()-4))</f>
        <v>82.975633421348874</v>
      </c>
      <c r="O14" s="43">
        <f t="array" aca="1" ref="O14" ca="1">INDIRECT("'"&amp;$B$3&amp;"'!"&amp;CHAR(64+COLUMN())&amp;(ROW()-4))</f>
        <v>5.9289601596768513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267</v>
      </c>
      <c r="D15" s="43">
        <f t="array" aca="1" ref="D15" ca="1">INDIRECT("'"&amp;$B$3&amp;"'!"&amp;CHAR(64+COLUMN())&amp;(ROW()-4))</f>
        <v>244</v>
      </c>
      <c r="E15" s="43">
        <f t="array" aca="1" ref="E15" ca="1">INDIRECT("'"&amp;$B$3&amp;"'!"&amp;CHAR(64+COLUMN())&amp;(ROW()-4))</f>
        <v>267</v>
      </c>
      <c r="F15" s="43">
        <f t="array" aca="1" ref="F15" ca="1">INDIRECT("'"&amp;$B$3&amp;"'!"&amp;CHAR(64+COLUMN())&amp;(ROW()-4))</f>
        <v>53385</v>
      </c>
      <c r="G15" s="43">
        <f t="array" aca="1" ref="G15" ca="1">INDIRECT("'"&amp;$B$3&amp;"'!"&amp;CHAR(64+COLUMN())&amp;(ROW()-4))</f>
        <v>9.8765432098765427</v>
      </c>
      <c r="H15" s="43">
        <f t="array" aca="1" ref="H15" ca="1">INDIRECT("'"&amp;$B$3&amp;"'!"&amp;CHAR(64+COLUMN())&amp;(ROW()-4))</f>
        <v>241.5</v>
      </c>
      <c r="I15" s="43">
        <f t="array" aca="1" ref="I15" ca="1">INDIRECT("'"&amp;$B$3&amp;"'!"&amp;CHAR(64+COLUMN())&amp;(ROW()-4))</f>
        <v>220.45</v>
      </c>
      <c r="J15" s="43">
        <f t="array" aca="1" ref="J15" ca="1">INDIRECT("'"&amp;$B$3&amp;"'!"&amp;CHAR(64+COLUMN())&amp;(ROW()-4))</f>
        <v>197.35</v>
      </c>
      <c r="K15" s="43">
        <f t="array" aca="1" ref="K15" ca="1">INDIRECT("'"&amp;$B$3&amp;"'!"&amp;CHAR(64+COLUMN())&amp;(ROW()-4))</f>
        <v>77.603385619125675</v>
      </c>
      <c r="L15" s="43">
        <f t="array" aca="1" ref="L15" ca="1">INDIRECT("'"&amp;$B$3&amp;"'!"&amp;CHAR(64+COLUMN())&amp;(ROW()-4))</f>
        <v>73.768692430496586</v>
      </c>
      <c r="M15" s="43">
        <f t="array" aca="1" ref="M15" ca="1">INDIRECT("'"&amp;$B$3&amp;"'!"&amp;CHAR(64+COLUMN())&amp;(ROW()-4))</f>
        <v>90.035317939986612</v>
      </c>
      <c r="N15" s="43">
        <f t="array" aca="1" ref="N15" ca="1">INDIRECT("'"&amp;$B$3&amp;"'!"&amp;CHAR(64+COLUMN())&amp;(ROW()-4))</f>
        <v>85.328861594228115</v>
      </c>
      <c r="O15" s="43">
        <f t="array" aca="1" ref="O15" ca="1">INDIRECT("'"&amp;$B$3&amp;"'!"&amp;CHAR(64+COLUMN())&amp;(ROW()-4))</f>
        <v>7.1539568256166408</v>
      </c>
      <c r="Q15" s="49" t="s">
        <v>46</v>
      </c>
      <c r="R15" s="50" t="str">
        <f ca="1">"通過 "&amp;(COUNTIF(S7:S13,"🟢"))&amp;" / 7  警示 "&amp;COUNTIF(S7:S13,"🟡")&amp;"  危險 "&amp;COUNTIF(S7:S13,"🔴")</f>
        <v>通過 3 / 7  警示 2  危險 1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🟡 等待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274.5</v>
      </c>
      <c r="D16" s="43">
        <f t="array" aca="1" ref="D16" ca="1">INDIRECT("'"&amp;$B$3&amp;"'!"&amp;CHAR(64+COLUMN())&amp;(ROW()-4))</f>
        <v>259</v>
      </c>
      <c r="E16" s="43">
        <f t="array" aca="1" ref="E16" ca="1">INDIRECT("'"&amp;$B$3&amp;"'!"&amp;CHAR(64+COLUMN())&amp;(ROW()-4))</f>
        <v>264.5</v>
      </c>
      <c r="F16" s="43">
        <f t="array" aca="1" ref="F16" ca="1">INDIRECT("'"&amp;$B$3&amp;"'!"&amp;CHAR(64+COLUMN())&amp;(ROW()-4))</f>
        <v>52865</v>
      </c>
      <c r="G16" s="43">
        <f t="array" aca="1" ref="G16" ca="1">INDIRECT("'"&amp;$B$3&amp;"'!"&amp;CHAR(64+COLUMN())&amp;(ROW()-4))</f>
        <v>-0.93632958801498134</v>
      </c>
      <c r="H16" s="43">
        <f t="array" aca="1" ref="H16" ca="1">INDIRECT("'"&amp;$B$3&amp;"'!"&amp;CHAR(64+COLUMN())&amp;(ROW()-4))</f>
        <v>249.3</v>
      </c>
      <c r="I16" s="43">
        <f t="array" aca="1" ref="I16" ca="1">INDIRECT("'"&amp;$B$3&amp;"'!"&amp;CHAR(64+COLUMN())&amp;(ROW()-4))</f>
        <v>229.1</v>
      </c>
      <c r="J16" s="43">
        <f t="array" aca="1" ref="J16" ca="1">INDIRECT("'"&amp;$B$3&amp;"'!"&amp;CHAR(64+COLUMN())&amp;(ROW()-4))</f>
        <v>201.9</v>
      </c>
      <c r="K16" s="43">
        <f t="array" aca="1" ref="K16" ca="1">INDIRECT("'"&amp;$B$3&amp;"'!"&amp;CHAR(64+COLUMN())&amp;(ROW()-4))</f>
        <v>75.218743736401322</v>
      </c>
      <c r="L16" s="43">
        <f t="array" aca="1" ref="L16" ca="1">INDIRECT("'"&amp;$B$3&amp;"'!"&amp;CHAR(64+COLUMN())&amp;(ROW()-4))</f>
        <v>72.410522588431007</v>
      </c>
      <c r="M16" s="43">
        <f t="array" aca="1" ref="M16" ca="1">INDIRECT("'"&amp;$B$3&amp;"'!"&amp;CHAR(64+COLUMN())&amp;(ROW()-4))</f>
        <v>89.772649235976729</v>
      </c>
      <c r="N16" s="43">
        <f t="array" aca="1" ref="N16" ca="1">INDIRECT("'"&amp;$B$3&amp;"'!"&amp;CHAR(64+COLUMN())&amp;(ROW()-4))</f>
        <v>86.810124141477644</v>
      </c>
      <c r="O16" s="43">
        <f t="array" aca="1" ref="O16" ca="1">INDIRECT("'"&amp;$B$3&amp;"'!"&amp;CHAR(64+COLUMN())&amp;(ROW()-4))</f>
        <v>7.2633228635399814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266.5</v>
      </c>
      <c r="D17" s="43">
        <f t="array" aca="1" ref="D17" ca="1">INDIRECT("'"&amp;$B$3&amp;"'!"&amp;CHAR(64+COLUMN())&amp;(ROW()-4))</f>
        <v>251</v>
      </c>
      <c r="E17" s="43">
        <f t="array" aca="1" ref="E17" ca="1">INDIRECT("'"&amp;$B$3&amp;"'!"&amp;CHAR(64+COLUMN())&amp;(ROW()-4))</f>
        <v>251.5</v>
      </c>
      <c r="F17" s="43">
        <f t="array" aca="1" ref="F17" ca="1">INDIRECT("'"&amp;$B$3&amp;"'!"&amp;CHAR(64+COLUMN())&amp;(ROW()-4))</f>
        <v>33051</v>
      </c>
      <c r="G17" s="43">
        <f t="array" aca="1" ref="G17" ca="1">INDIRECT("'"&amp;$B$3&amp;"'!"&amp;CHAR(64+COLUMN())&amp;(ROW()-4))</f>
        <v>-4.9149338374291114</v>
      </c>
      <c r="H17" s="43">
        <f t="array" aca="1" ref="H17" ca="1">INDIRECT("'"&amp;$B$3&amp;"'!"&amp;CHAR(64+COLUMN())&amp;(ROW()-4))</f>
        <v>250</v>
      </c>
      <c r="I17" s="43">
        <f t="array" aca="1" ref="I17" ca="1">INDIRECT("'"&amp;$B$3&amp;"'!"&amp;CHAR(64+COLUMN())&amp;(ROW()-4))</f>
        <v>236.3</v>
      </c>
      <c r="J17" s="43">
        <f t="array" aca="1" ref="J17" ca="1">INDIRECT("'"&amp;$B$3&amp;"'!"&amp;CHAR(64+COLUMN())&amp;(ROW()-4))</f>
        <v>205.82499999999999</v>
      </c>
      <c r="K17" s="43">
        <f t="array" aca="1" ref="K17" ca="1">INDIRECT("'"&amp;$B$3&amp;"'!"&amp;CHAR(64+COLUMN())&amp;(ROW()-4))</f>
        <v>63.116404105465612</v>
      </c>
      <c r="L17" s="43">
        <f t="array" aca="1" ref="L17" ca="1">INDIRECT("'"&amp;$B$3&amp;"'!"&amp;CHAR(64+COLUMN())&amp;(ROW()-4))</f>
        <v>65.563010766875081</v>
      </c>
      <c r="M17" s="43">
        <f t="array" aca="1" ref="M17" ca="1">INDIRECT("'"&amp;$B$3&amp;"'!"&amp;CHAR(64+COLUMN())&amp;(ROW()-4))</f>
        <v>82.679483052294984</v>
      </c>
      <c r="N17" s="43">
        <f t="array" aca="1" ref="N17" ca="1">INDIRECT("'"&amp;$B$3&amp;"'!"&amp;CHAR(64+COLUMN())&amp;(ROW()-4))</f>
        <v>85.433243778416752</v>
      </c>
      <c r="O17" s="43">
        <f t="array" aca="1" ref="O17" ca="1">INDIRECT("'"&amp;$B$3&amp;"'!"&amp;CHAR(64+COLUMN())&amp;(ROW()-4))</f>
        <v>5.9810600366421909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261.5</v>
      </c>
      <c r="D18" s="43">
        <f t="array" aca="1" ref="D18" ca="1">INDIRECT("'"&amp;$B$3&amp;"'!"&amp;CHAR(64+COLUMN())&amp;(ROW()-4))</f>
        <v>241</v>
      </c>
      <c r="E18" s="43">
        <f t="array" aca="1" ref="E18" ca="1">INDIRECT("'"&amp;$B$3&amp;"'!"&amp;CHAR(64+COLUMN())&amp;(ROW()-4))</f>
        <v>249.5</v>
      </c>
      <c r="F18" s="43">
        <f t="array" aca="1" ref="F18" ca="1">INDIRECT("'"&amp;$B$3&amp;"'!"&amp;CHAR(64+COLUMN())&amp;(ROW()-4))</f>
        <v>37520</v>
      </c>
      <c r="G18" s="43">
        <f t="array" aca="1" ref="G18" ca="1">INDIRECT("'"&amp;$B$3&amp;"'!"&amp;CHAR(64+COLUMN())&amp;(ROW()-4))</f>
        <v>-0.79522862823061624</v>
      </c>
      <c r="H18" s="43">
        <f t="array" aca="1" ref="H18" ca="1">INDIRECT("'"&amp;$B$3&amp;"'!"&amp;CHAR(64+COLUMN())&amp;(ROW()-4))</f>
        <v>255.1</v>
      </c>
      <c r="I18" s="43">
        <f t="array" aca="1" ref="I18" ca="1">INDIRECT("'"&amp;$B$3&amp;"'!"&amp;CHAR(64+COLUMN())&amp;(ROW()-4))</f>
        <v>241.55</v>
      </c>
      <c r="J18" s="43">
        <f t="array" aca="1" ref="J18" ca="1">INDIRECT("'"&amp;$B$3&amp;"'!"&amp;CHAR(64+COLUMN())&amp;(ROW()-4))</f>
        <v>209.625</v>
      </c>
      <c r="K18" s="43">
        <f t="array" aca="1" ref="K18" ca="1">INDIRECT("'"&amp;$B$3&amp;"'!"&amp;CHAR(64+COLUMN())&amp;(ROW()-4))</f>
        <v>61.295692721659087</v>
      </c>
      <c r="L18" s="43">
        <f t="array" aca="1" ref="L18" ca="1">INDIRECT("'"&amp;$B$3&amp;"'!"&amp;CHAR(64+COLUMN())&amp;(ROW()-4))</f>
        <v>64.538712099401778</v>
      </c>
      <c r="M18" s="43">
        <f t="array" aca="1" ref="M18" ca="1">INDIRECT("'"&amp;$B$3&amp;"'!"&amp;CHAR(64+COLUMN())&amp;(ROW()-4))</f>
        <v>74.791786515737641</v>
      </c>
      <c r="N18" s="43">
        <f t="array" aca="1" ref="N18" ca="1">INDIRECT("'"&amp;$B$3&amp;"'!"&amp;CHAR(64+COLUMN())&amp;(ROW()-4))</f>
        <v>81.886091357523711</v>
      </c>
      <c r="O18" s="43">
        <f t="array" aca="1" ref="O18" ca="1">INDIRECT("'"&amp;$B$3&amp;"'!"&amp;CHAR(64+COLUMN())&amp;(ROW()-4))</f>
        <v>4.5821317901573124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251.5</v>
      </c>
      <c r="D19" s="43">
        <f t="array" aca="1" ref="D19" ca="1">INDIRECT("'"&amp;$B$3&amp;"'!"&amp;CHAR(64+COLUMN())&amp;(ROW()-4))</f>
        <v>240</v>
      </c>
      <c r="E19" s="43">
        <f t="array" aca="1" ref="E19" ca="1">INDIRECT("'"&amp;$B$3&amp;"'!"&amp;CHAR(64+COLUMN())&amp;(ROW()-4))</f>
        <v>241.5</v>
      </c>
      <c r="F19" s="43">
        <f t="array" aca="1" ref="F19" ca="1">INDIRECT("'"&amp;$B$3&amp;"'!"&amp;CHAR(64+COLUMN())&amp;(ROW()-4))</f>
        <v>22137</v>
      </c>
      <c r="G19" s="43">
        <f t="array" aca="1" ref="G19" ca="1">INDIRECT("'"&amp;$B$3&amp;"'!"&amp;CHAR(64+COLUMN())&amp;(ROW()-4))</f>
        <v>-3.2064128256513018</v>
      </c>
      <c r="H19" s="43">
        <f t="array" aca="1" ref="H19" ca="1">INDIRECT("'"&amp;$B$3&amp;"'!"&amp;CHAR(64+COLUMN())&amp;(ROW()-4))</f>
        <v>254.8</v>
      </c>
      <c r="I19" s="43">
        <f t="array" aca="1" ref="I19" ca="1">INDIRECT("'"&amp;$B$3&amp;"'!"&amp;CHAR(64+COLUMN())&amp;(ROW()-4))</f>
        <v>244.05</v>
      </c>
      <c r="J19" s="43">
        <f t="array" aca="1" ref="J19" ca="1">INDIRECT("'"&amp;$B$3&amp;"'!"&amp;CHAR(64+COLUMN())&amp;(ROW()-4))</f>
        <v>213.4</v>
      </c>
      <c r="K19" s="43">
        <f t="array" aca="1" ref="K19" ca="1">INDIRECT("'"&amp;$B$3&amp;"'!"&amp;CHAR(64+COLUMN())&amp;(ROW()-4))</f>
        <v>53.840646160148722</v>
      </c>
      <c r="L19" s="43">
        <f t="array" aca="1" ref="L19" ca="1">INDIRECT("'"&amp;$B$3&amp;"'!"&amp;CHAR(64+COLUMN())&amp;(ROW()-4))</f>
        <v>60.419684302500848</v>
      </c>
      <c r="M19" s="43">
        <f t="array" aca="1" ref="M19" ca="1">INDIRECT("'"&amp;$B$3&amp;"'!"&amp;CHAR(64+COLUMN())&amp;(ROW()-4))</f>
        <v>62.82415397345472</v>
      </c>
      <c r="N19" s="43">
        <f t="array" aca="1" ref="N19" ca="1">INDIRECT("'"&amp;$B$3&amp;"'!"&amp;CHAR(64+COLUMN())&amp;(ROW()-4))</f>
        <v>75.532112229500711</v>
      </c>
      <c r="O19" s="43">
        <f t="array" aca="1" ref="O19" ca="1">INDIRECT("'"&amp;$B$3&amp;"'!"&amp;CHAR(64+COLUMN())&amp;(ROW()-4))</f>
        <v>2.7900644610344152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241</v>
      </c>
      <c r="D20" s="43">
        <f t="array" aca="1" ref="D20" ca="1">INDIRECT("'"&amp;$B$3&amp;"'!"&amp;CHAR(64+COLUMN())&amp;(ROW()-4))</f>
        <v>217.5</v>
      </c>
      <c r="E20" s="43">
        <f t="array" aca="1" ref="E20" ca="1">INDIRECT("'"&amp;$B$3&amp;"'!"&amp;CHAR(64+COLUMN())&amp;(ROW()-4))</f>
        <v>217.5</v>
      </c>
      <c r="F20" s="43">
        <f t="array" aca="1" ref="F20" ca="1">INDIRECT("'"&amp;$B$3&amp;"'!"&amp;CHAR(64+COLUMN())&amp;(ROW()-4))</f>
        <v>41075</v>
      </c>
      <c r="G20" s="43">
        <f t="array" aca="1" ref="G20" ca="1">INDIRECT("'"&amp;$B$3&amp;"'!"&amp;CHAR(64+COLUMN())&amp;(ROW()-4))</f>
        <v>-9.9378881987577632</v>
      </c>
      <c r="H20" s="43">
        <f t="array" aca="1" ref="H20" ca="1">INDIRECT("'"&amp;$B$3&amp;"'!"&amp;CHAR(64+COLUMN())&amp;(ROW()-4))</f>
        <v>244.9</v>
      </c>
      <c r="I20" s="43">
        <f t="array" aca="1" ref="I20" ca="1">INDIRECT("'"&amp;$B$3&amp;"'!"&amp;CHAR(64+COLUMN())&amp;(ROW()-4))</f>
        <v>243.2</v>
      </c>
      <c r="J20" s="43">
        <f t="array" aca="1" ref="J20" ca="1">INDIRECT("'"&amp;$B$3&amp;"'!"&amp;CHAR(64+COLUMN())&amp;(ROW()-4))</f>
        <v>215.92500000000001</v>
      </c>
      <c r="K20" s="43">
        <f t="array" aca="1" ref="K20" ca="1">INDIRECT("'"&amp;$B$3&amp;"'!"&amp;CHAR(64+COLUMN())&amp;(ROW()-4))</f>
        <v>37.445309783557619</v>
      </c>
      <c r="L20" s="43">
        <f t="array" aca="1" ref="L20" ca="1">INDIRECT("'"&amp;$B$3&amp;"'!"&amp;CHAR(64+COLUMN())&amp;(ROW()-4))</f>
        <v>49.980136611276251</v>
      </c>
      <c r="M20" s="43">
        <f t="array" aca="1" ref="M20" ca="1">INDIRECT("'"&amp;$B$3&amp;"'!"&amp;CHAR(64+COLUMN())&amp;(ROW()-4))</f>
        <v>41.88276931563648</v>
      </c>
      <c r="N20" s="43">
        <f t="array" aca="1" ref="N20" ca="1">INDIRECT("'"&amp;$B$3&amp;"'!"&amp;CHAR(64+COLUMN())&amp;(ROW()-4))</f>
        <v>64.315664591545968</v>
      </c>
      <c r="O20" s="43">
        <f t="array" aca="1" ref="O20" ca="1">INDIRECT("'"&amp;$B$3&amp;"'!"&amp;CHAR(64+COLUMN())&amp;(ROW()-4))</f>
        <v>-0.18191344043420091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217</v>
      </c>
      <c r="D21" s="43">
        <f t="array" aca="1" ref="D21" ca="1">INDIRECT("'"&amp;$B$3&amp;"'!"&amp;CHAR(64+COLUMN())&amp;(ROW()-4))</f>
        <v>203.5</v>
      </c>
      <c r="E21" s="43">
        <f t="array" aca="1" ref="E21" ca="1">INDIRECT("'"&amp;$B$3&amp;"'!"&amp;CHAR(64+COLUMN())&amp;(ROW()-4))</f>
        <v>208.5</v>
      </c>
      <c r="F21" s="43">
        <f t="array" aca="1" ref="F21" ca="1">INDIRECT("'"&amp;$B$3&amp;"'!"&amp;CHAR(64+COLUMN())&amp;(ROW()-4))</f>
        <v>28404</v>
      </c>
      <c r="G21" s="43">
        <f t="array" aca="1" ref="G21" ca="1">INDIRECT("'"&amp;$B$3&amp;"'!"&amp;CHAR(64+COLUMN())&amp;(ROW()-4))</f>
        <v>-4.1379310344827589</v>
      </c>
      <c r="H21" s="43">
        <f t="array" aca="1" ref="H21" ca="1">INDIRECT("'"&amp;$B$3&amp;"'!"&amp;CHAR(64+COLUMN())&amp;(ROW()-4))</f>
        <v>233.7</v>
      </c>
      <c r="I21" s="43">
        <f t="array" aca="1" ref="I21" ca="1">INDIRECT("'"&amp;$B$3&amp;"'!"&amp;CHAR(64+COLUMN())&amp;(ROW()-4))</f>
        <v>241.5</v>
      </c>
      <c r="J21" s="43">
        <f t="array" aca="1" ref="J21" ca="1">INDIRECT("'"&amp;$B$3&amp;"'!"&amp;CHAR(64+COLUMN())&amp;(ROW()-4))</f>
        <v>217.35</v>
      </c>
      <c r="K21" s="43">
        <f t="array" aca="1" ref="K21" ca="1">INDIRECT("'"&amp;$B$3&amp;"'!"&amp;CHAR(64+COLUMN())&amp;(ROW()-4))</f>
        <v>32.932497678720573</v>
      </c>
      <c r="L21" s="43">
        <f t="array" aca="1" ref="L21" ca="1">INDIRECT("'"&amp;$B$3&amp;"'!"&amp;CHAR(64+COLUMN())&amp;(ROW()-4))</f>
        <v>46.680553610628827</v>
      </c>
      <c r="M21" s="43">
        <f t="array" aca="1" ref="M21" ca="1">INDIRECT("'"&amp;$B$3&amp;"'!"&amp;CHAR(64+COLUMN())&amp;(ROW()-4))</f>
        <v>30.269264050799912</v>
      </c>
      <c r="N21" s="43">
        <f t="array" aca="1" ref="N21" ca="1">INDIRECT("'"&amp;$B$3&amp;"'!"&amp;CHAR(64+COLUMN())&amp;(ROW()-4))</f>
        <v>52.96686441129728</v>
      </c>
      <c r="O21" s="43">
        <f t="array" aca="1" ref="O21" ca="1">INDIRECT("'"&amp;$B$3&amp;"'!"&amp;CHAR(64+COLUMN())&amp;(ROW()-4))</f>
        <v>-2.7799608626340979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214</v>
      </c>
      <c r="D22" s="43">
        <f t="array" aca="1" ref="D22" ca="1">INDIRECT("'"&amp;$B$3&amp;"'!"&amp;CHAR(64+COLUMN())&amp;(ROW()-4))</f>
        <v>200</v>
      </c>
      <c r="E22" s="43">
        <f t="array" aca="1" ref="E22" ca="1">INDIRECT("'"&amp;$B$3&amp;"'!"&amp;CHAR(64+COLUMN())&amp;(ROW()-4))</f>
        <v>211.5</v>
      </c>
      <c r="F22" s="43">
        <f t="array" aca="1" ref="F22" ca="1">INDIRECT("'"&amp;$B$3&amp;"'!"&amp;CHAR(64+COLUMN())&amp;(ROW()-4))</f>
        <v>29501</v>
      </c>
      <c r="G22" s="43">
        <f t="array" aca="1" ref="G22" ca="1">INDIRECT("'"&amp;$B$3&amp;"'!"&amp;CHAR(64+COLUMN())&amp;(ROW()-4))</f>
        <v>1.43884892086331</v>
      </c>
      <c r="H22" s="43">
        <f t="array" aca="1" ref="H22" ca="1">INDIRECT("'"&amp;$B$3&amp;"'!"&amp;CHAR(64+COLUMN())&amp;(ROW()-4))</f>
        <v>225.7</v>
      </c>
      <c r="I22" s="43">
        <f t="array" aca="1" ref="I22" ca="1">INDIRECT("'"&amp;$B$3&amp;"'!"&amp;CHAR(64+COLUMN())&amp;(ROW()-4))</f>
        <v>237.85</v>
      </c>
      <c r="J22" s="43">
        <f t="array" aca="1" ref="J22" ca="1">INDIRECT("'"&amp;$B$3&amp;"'!"&amp;CHAR(64+COLUMN())&amp;(ROW()-4))</f>
        <v>219.32499999999999</v>
      </c>
      <c r="K22" s="43">
        <f t="array" aca="1" ref="K22" ca="1">INDIRECT("'"&amp;$B$3&amp;"'!"&amp;CHAR(64+COLUMN())&amp;(ROW()-4))</f>
        <v>36.016927588396861</v>
      </c>
      <c r="L22" s="43">
        <f t="array" aca="1" ref="L22" ca="1">INDIRECT("'"&amp;$B$3&amp;"'!"&amp;CHAR(64+COLUMN())&amp;(ROW()-4))</f>
        <v>47.930558872332242</v>
      </c>
      <c r="M22" s="43">
        <f t="array" aca="1" ref="M22" ca="1">INDIRECT("'"&amp;$B$3&amp;"'!"&amp;CHAR(64+COLUMN())&amp;(ROW()-4))</f>
        <v>25.324923237446018</v>
      </c>
      <c r="N22" s="43">
        <f t="array" aca="1" ref="N22" ca="1">INDIRECT("'"&amp;$B$3&amp;"'!"&amp;CHAR(64+COLUMN())&amp;(ROW()-4))</f>
        <v>43.752884020013518</v>
      </c>
      <c r="O22" s="43">
        <f t="array" aca="1" ref="O22" ca="1">INDIRECT("'"&amp;$B$3&amp;"'!"&amp;CHAR(64+COLUMN())&amp;(ROW()-4))</f>
        <v>-4.2352939067778266</v>
      </c>
      <c r="Q22" s="82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222</v>
      </c>
      <c r="D23" s="43">
        <f t="array" aca="1" ref="D23" ca="1">INDIRECT("'"&amp;$B$3&amp;"'!"&amp;CHAR(64+COLUMN())&amp;(ROW()-4))</f>
        <v>209.5</v>
      </c>
      <c r="E23" s="43">
        <f t="array" aca="1" ref="E23" ca="1">INDIRECT("'"&amp;$B$3&amp;"'!"&amp;CHAR(64+COLUMN())&amp;(ROW()-4))</f>
        <v>217.5</v>
      </c>
      <c r="F23" s="43">
        <f t="array" aca="1" ref="F23" ca="1">INDIRECT("'"&amp;$B$3&amp;"'!"&amp;CHAR(64+COLUMN())&amp;(ROW()-4))</f>
        <v>25868</v>
      </c>
      <c r="G23" s="43">
        <f t="array" aca="1" ref="G23" ca="1">INDIRECT("'"&amp;$B$3&amp;"'!"&amp;CHAR(64+COLUMN())&amp;(ROW()-4))</f>
        <v>2.836879432624114</v>
      </c>
      <c r="H23" s="43">
        <f t="array" aca="1" ref="H23" ca="1">INDIRECT("'"&amp;$B$3&amp;"'!"&amp;CHAR(64+COLUMN())&amp;(ROW()-4))</f>
        <v>219.3</v>
      </c>
      <c r="I23" s="43">
        <f t="array" aca="1" ref="I23" ca="1">INDIRECT("'"&amp;$B$3&amp;"'!"&amp;CHAR(64+COLUMN())&amp;(ROW()-4))</f>
        <v>237.2</v>
      </c>
      <c r="J23" s="43">
        <f t="array" aca="1" ref="J23" ca="1">INDIRECT("'"&amp;$B$3&amp;"'!"&amp;CHAR(64+COLUMN())&amp;(ROW()-4))</f>
        <v>220.77500000000001</v>
      </c>
      <c r="K23" s="43">
        <f t="array" aca="1" ref="K23" ca="1">INDIRECT("'"&amp;$B$3&amp;"'!"&amp;CHAR(64+COLUMN())&amp;(ROW()-4))</f>
        <v>42.377103128805373</v>
      </c>
      <c r="L23" s="43">
        <f t="array" aca="1" ref="L23" ca="1">INDIRECT("'"&amp;$B$3&amp;"'!"&amp;CHAR(64+COLUMN())&amp;(ROW()-4))</f>
        <v>50.464304604888497</v>
      </c>
      <c r="M23" s="43">
        <f t="array" aca="1" ref="M23" ca="1">INDIRECT("'"&amp;$B$3&amp;"'!"&amp;CHAR(64+COLUMN())&amp;(ROW()-4))</f>
        <v>24.713259786932699</v>
      </c>
      <c r="N23" s="43">
        <f t="array" aca="1" ref="N23" ca="1">INDIRECT("'"&amp;$B$3&amp;"'!"&amp;CHAR(64+COLUMN())&amp;(ROW()-4))</f>
        <v>37.406342608986577</v>
      </c>
      <c r="O23" s="43">
        <f t="array" aca="1" ref="O23" ca="1">INDIRECT("'"&amp;$B$3&amp;"'!"&amp;CHAR(64+COLUMN())&amp;(ROW()-4))</f>
        <v>-4.69699867083607</v>
      </c>
      <c r="Q23" s="66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216</v>
      </c>
      <c r="D24" s="43">
        <f t="array" aca="1" ref="D24" ca="1">INDIRECT("'"&amp;$B$3&amp;"'!"&amp;CHAR(64+COLUMN())&amp;(ROW()-4))</f>
        <v>208.5</v>
      </c>
      <c r="E24" s="43">
        <f t="array" aca="1" ref="E24" ca="1">INDIRECT("'"&amp;$B$3&amp;"'!"&amp;CHAR(64+COLUMN())&amp;(ROW()-4))</f>
        <v>213</v>
      </c>
      <c r="F24" s="43">
        <f t="array" aca="1" ref="F24" ca="1">INDIRECT("'"&amp;$B$3&amp;"'!"&amp;CHAR(64+COLUMN())&amp;(ROW()-4))</f>
        <v>11447</v>
      </c>
      <c r="G24" s="43">
        <f t="array" aca="1" ref="G24" ca="1">INDIRECT("'"&amp;$B$3&amp;"'!"&amp;CHAR(64+COLUMN())&amp;(ROW()-4))</f>
        <v>-2.068965517241379</v>
      </c>
      <c r="H24" s="43">
        <f t="array" aca="1" ref="H24" ca="1">INDIRECT("'"&amp;$B$3&amp;"'!"&amp;CHAR(64+COLUMN())&amp;(ROW()-4))</f>
        <v>213.6</v>
      </c>
      <c r="I24" s="43">
        <f t="array" aca="1" ref="I24" ca="1">INDIRECT("'"&amp;$B$3&amp;"'!"&amp;CHAR(64+COLUMN())&amp;(ROW()-4))</f>
        <v>234.2</v>
      </c>
      <c r="J24" s="43">
        <f t="array" aca="1" ref="J24" ca="1">INDIRECT("'"&amp;$B$3&amp;"'!"&amp;CHAR(64+COLUMN())&amp;(ROW()-4))</f>
        <v>222.47499999999999</v>
      </c>
      <c r="K24" s="43">
        <f t="array" aca="1" ref="K24" ca="1">INDIRECT("'"&amp;$B$3&amp;"'!"&amp;CHAR(64+COLUMN())&amp;(ROW()-4))</f>
        <v>38.897216868384703</v>
      </c>
      <c r="L24" s="43">
        <f t="array" aca="1" ref="L24" ca="1">INDIRECT("'"&amp;$B$3&amp;"'!"&amp;CHAR(64+COLUMN())&amp;(ROW()-4))</f>
        <v>48.532074716095202</v>
      </c>
      <c r="M24" s="43">
        <f t="array" aca="1" ref="M24" ca="1">INDIRECT("'"&amp;$B$3&amp;"'!"&amp;CHAR(64+COLUMN())&amp;(ROW()-4))</f>
        <v>22.292061334465199</v>
      </c>
      <c r="N24" s="43">
        <f t="array" aca="1" ref="N24" ca="1">INDIRECT("'"&amp;$B$3&amp;"'!"&amp;CHAR(64+COLUMN())&amp;(ROW()-4))</f>
        <v>32.368248850812783</v>
      </c>
      <c r="O24" s="43">
        <f t="array" aca="1" ref="O24" ca="1">INDIRECT("'"&amp;$B$3&amp;"'!"&amp;CHAR(64+COLUMN())&amp;(ROW()-4))</f>
        <v>-5.1710932120619333</v>
      </c>
      <c r="Q24" s="84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222.5</v>
      </c>
      <c r="D25" s="43">
        <f t="array" aca="1" ref="D25" ca="1">INDIRECT("'"&amp;$B$3&amp;"'!"&amp;CHAR(64+COLUMN())&amp;(ROW()-4))</f>
        <v>212.5</v>
      </c>
      <c r="E25" s="43">
        <f t="array" aca="1" ref="E25" ca="1">INDIRECT("'"&amp;$B$3&amp;"'!"&amp;CHAR(64+COLUMN())&amp;(ROW()-4))</f>
        <v>216</v>
      </c>
      <c r="F25" s="43">
        <f t="array" aca="1" ref="F25" ca="1">INDIRECT("'"&amp;$B$3&amp;"'!"&amp;CHAR(64+COLUMN())&amp;(ROW()-4))</f>
        <v>16699</v>
      </c>
      <c r="G25" s="43">
        <f t="array" aca="1" ref="G25" ca="1">INDIRECT("'"&amp;$B$3&amp;"'!"&amp;CHAR(64+COLUMN())&amp;(ROW()-4))</f>
        <v>1.408450704225352</v>
      </c>
      <c r="H25" s="43">
        <f t="array" aca="1" ref="H25" ca="1">INDIRECT("'"&amp;$B$3&amp;"'!"&amp;CHAR(64+COLUMN())&amp;(ROW()-4))</f>
        <v>213.3</v>
      </c>
      <c r="I25" s="43">
        <f t="array" aca="1" ref="I25" ca="1">INDIRECT("'"&amp;$B$3&amp;"'!"&amp;CHAR(64+COLUMN())&amp;(ROW()-4))</f>
        <v>229.1</v>
      </c>
      <c r="J25" s="43">
        <f t="array" aca="1" ref="J25" ca="1">INDIRECT("'"&amp;$B$3&amp;"'!"&amp;CHAR(64+COLUMN())&amp;(ROW()-4))</f>
        <v>224.77500000000001</v>
      </c>
      <c r="K25" s="43">
        <f t="array" aca="1" ref="K25" ca="1">INDIRECT("'"&amp;$B$3&amp;"'!"&amp;CHAR(64+COLUMN())&amp;(ROW()-4))</f>
        <v>42.663841670281869</v>
      </c>
      <c r="L25" s="43">
        <f t="array" aca="1" ref="L25" ca="1">INDIRECT("'"&amp;$B$3&amp;"'!"&amp;CHAR(64+COLUMN())&amp;(ROW()-4))</f>
        <v>49.926451594766739</v>
      </c>
      <c r="M25" s="43">
        <f t="array" aca="1" ref="M25" ca="1">INDIRECT("'"&amp;$B$3&amp;"'!"&amp;CHAR(64+COLUMN())&amp;(ROW()-4))</f>
        <v>22.881424348290079</v>
      </c>
      <c r="N25" s="43">
        <f t="array" aca="1" ref="N25" ca="1">INDIRECT("'"&amp;$B$3&amp;"'!"&amp;CHAR(64+COLUMN())&amp;(ROW()-4))</f>
        <v>29.20597401663855</v>
      </c>
      <c r="O25" s="43">
        <f t="array" aca="1" ref="O25" ca="1">INDIRECT("'"&amp;$B$3&amp;"'!"&amp;CHAR(64+COLUMN())&amp;(ROW()-4))</f>
        <v>-5.1376821602641147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目前燈號為「🟡 等待」，建議等待、不推薦進出場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202.4</v>
      </c>
      <c r="S27" s="69">
        <f ca="1">ROUND((E25*(1-N32)-E25)/E25,4)</f>
        <v>-6.3100000000000003E-2</v>
      </c>
      <c r="T27" s="70" t="str">
        <f ca="1">"再跌 "&amp;TEXT(ABS((E25*(1-N32)-E25)/E25),"0.0%")&amp;" 至 "&amp;TEXT(E25*(1-N32),"0.0")&amp;" 進入積極買進區"</f>
        <v>再跌 6.3% 至 202.4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274.5</v>
      </c>
      <c r="Q28" s="71" t="s">
        <v>129</v>
      </c>
      <c r="R28" s="72">
        <f ca="1">ROUND(MAX(H25,E25*(1+N32)),1)</f>
        <v>229.6</v>
      </c>
      <c r="S28" s="73">
        <f ca="1">ROUND((MAX(H25,E25*(1+N32))-E25)/E25,4)</f>
        <v>6.3100000000000003E-2</v>
      </c>
      <c r="T28" s="74" t="str">
        <f ca="1">"再漲 "&amp;TEXT(ABS((MAX(H25,E25*(1+N32))-E25)/E25),"0.0%")&amp;" 至 "&amp;TEXT(MAX(H25,E25*(1+N32)),"0.0")&amp;" 進入反彈賣出區"</f>
        <v>再漲 6.3% 至 229.6 進入反彈賣出區</v>
      </c>
    </row>
    <row r="29" spans="1:20" x14ac:dyDescent="0.2">
      <c r="A29" s="1" t="s">
        <v>130</v>
      </c>
      <c r="B29" s="8">
        <v>1.92</v>
      </c>
      <c r="C29" s="8">
        <v>1.03</v>
      </c>
      <c r="D29" s="8">
        <v>1.39</v>
      </c>
      <c r="E29" s="8">
        <v>2.06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176</v>
      </c>
    </row>
    <row r="30" spans="1:20" ht="16" customHeight="1" x14ac:dyDescent="0.2">
      <c r="A30" s="1" t="s">
        <v>132</v>
      </c>
      <c r="B30" s="107">
        <v>6.4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224.77500000000001</v>
      </c>
    </row>
    <row r="31" spans="1:20" x14ac:dyDescent="0.2">
      <c r="A31" s="9" t="s">
        <v>134</v>
      </c>
      <c r="B31" t="s">
        <v>95</v>
      </c>
      <c r="C31" s="10">
        <v>-0.46354166666666657</v>
      </c>
      <c r="D31" s="11">
        <v>0.34951456310679602</v>
      </c>
      <c r="E31" s="11">
        <v>0.4820143884892088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0.21348314606741572</v>
      </c>
    </row>
    <row r="32" spans="1:20" x14ac:dyDescent="0.2">
      <c r="A32" s="110" t="s">
        <v>136</v>
      </c>
      <c r="B32" s="106"/>
      <c r="C32" s="106"/>
      <c r="D32" s="106"/>
      <c r="E32" s="106"/>
      <c r="M32" s="1" t="s">
        <v>137</v>
      </c>
      <c r="N32" s="23">
        <f ca="1">STDEV(G7:G25)/100</f>
        <v>6.3074431882739632E-2</v>
      </c>
    </row>
    <row r="33" spans="1:14" ht="17" customHeight="1" x14ac:dyDescent="0.2">
      <c r="A33" s="108" t="s">
        <v>171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216</v>
      </c>
    </row>
    <row r="34" spans="1:14" x14ac:dyDescent="0.2">
      <c r="A34" t="s">
        <v>141</v>
      </c>
      <c r="B34" s="26">
        <v>4.8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70.89</v>
      </c>
      <c r="G35" t="s">
        <v>146</v>
      </c>
      <c r="H35" s="27">
        <f>B36*B30</f>
        <v>64</v>
      </c>
      <c r="I35" s="27">
        <f>C36*B30</f>
        <v>102.4</v>
      </c>
      <c r="J35" s="27">
        <f>D36*B30</f>
        <v>140.80000000000001</v>
      </c>
    </row>
    <row r="36" spans="1:14" ht="17" customHeight="1" x14ac:dyDescent="0.2">
      <c r="A36" t="s">
        <v>147</v>
      </c>
      <c r="B36" s="26">
        <v>10</v>
      </c>
      <c r="C36" s="26">
        <v>16</v>
      </c>
      <c r="D36" s="26">
        <v>22</v>
      </c>
      <c r="G36" t="s">
        <v>148</v>
      </c>
      <c r="H36" s="27">
        <f>B37*B35</f>
        <v>141.78</v>
      </c>
      <c r="I36" s="27">
        <f>C37*B35</f>
        <v>212.67000000000002</v>
      </c>
      <c r="J36" s="27">
        <f>D37*B35</f>
        <v>319.005</v>
      </c>
    </row>
    <row r="37" spans="1:14" ht="17" customHeight="1" x14ac:dyDescent="0.2">
      <c r="A37" t="s">
        <v>149</v>
      </c>
      <c r="B37" s="26">
        <v>2</v>
      </c>
      <c r="C37" s="26">
        <v>3</v>
      </c>
      <c r="D37" s="26">
        <v>4.5</v>
      </c>
      <c r="G37" t="s">
        <v>150</v>
      </c>
      <c r="H37" s="27">
        <f>B34/B38</f>
        <v>95.999999999999986</v>
      </c>
      <c r="I37" s="27">
        <f>B34/C38</f>
        <v>126.31578947368421</v>
      </c>
      <c r="J37" s="27">
        <f>B34/D38</f>
        <v>171.42857142857142</v>
      </c>
    </row>
    <row r="38" spans="1:14" ht="17" customHeight="1" x14ac:dyDescent="0.25">
      <c r="A38" s="40" t="s">
        <v>151</v>
      </c>
      <c r="B38" s="37">
        <v>0.05</v>
      </c>
      <c r="C38" s="37">
        <v>3.7999999999999999E-2</v>
      </c>
      <c r="D38" s="37">
        <v>2.8000000000000001E-2</v>
      </c>
      <c r="G38" s="29" t="s">
        <v>152</v>
      </c>
      <c r="H38" s="38">
        <f>AVERAGE(H35,H36,H37)</f>
        <v>100.59333333333332</v>
      </c>
      <c r="I38" s="38">
        <f>AVERAGE(I35,I36,I37)</f>
        <v>147.12859649122808</v>
      </c>
      <c r="J38" s="39">
        <f>AVERAGE(J35,J36,J37)</f>
        <v>210.41119047619046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3" priority="1" operator="lessThan">
      <formula>0</formula>
    </cfRule>
  </conditionalFormatting>
  <conditionalFormatting sqref="O6:O25">
    <cfRule type="cellIs" dxfId="12" priority="2" operator="lessThan">
      <formula>0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9"/>
  <sheetViews>
    <sheetView workbookViewId="0">
      <pane ySplit="5" topLeftCell="A14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1.83203125" bestFit="1" customWidth="1"/>
    <col min="3" max="5" width="8.33203125" bestFit="1" customWidth="1"/>
    <col min="6" max="6" width="10.33203125" bestFit="1" customWidth="1"/>
    <col min="7" max="7" width="10" bestFit="1" customWidth="1"/>
    <col min="8" max="9" width="7.5" bestFit="1" customWidth="1"/>
    <col min="10" max="10" width="6.8320312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8.8320312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172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173</v>
      </c>
    </row>
    <row r="3" spans="1:20" x14ac:dyDescent="0.2">
      <c r="A3" s="1" t="s">
        <v>2</v>
      </c>
      <c r="B3" s="2">
        <v>2352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23.4</v>
      </c>
      <c r="D6" s="43">
        <f t="array" aca="1" ref="D6" ca="1">INDIRECT("'"&amp;$B$3&amp;"'!"&amp;CHAR(64+COLUMN())&amp;(ROW()-4))</f>
        <v>22.9</v>
      </c>
      <c r="E6" s="43">
        <f t="array" aca="1" ref="E6" ca="1">INDIRECT("'"&amp;$B$3&amp;"'!"&amp;CHAR(64+COLUMN())&amp;(ROW()-4))</f>
        <v>23.3</v>
      </c>
      <c r="F6" s="43">
        <f t="array" aca="1" ref="F6" ca="1">INDIRECT("'"&amp;$B$3&amp;"'!"&amp;CHAR(64+COLUMN())&amp;(ROW()-4))</f>
        <v>3567</v>
      </c>
      <c r="G6" s="43">
        <f t="array" aca="1" ref="G6" ca="1">INDIRECT("'"&amp;$B$3&amp;"'!"&amp;CHAR(64+COLUMN())&amp;(ROW()-4))</f>
        <v>2.417582417582421</v>
      </c>
      <c r="H6" s="43">
        <f t="array" aca="1" ref="H6" ca="1">INDIRECT("'"&amp;$B$3&amp;"'!"&amp;CHAR(64+COLUMN())&amp;(ROW()-4))</f>
        <v>23.37</v>
      </c>
      <c r="I6" s="43">
        <f t="array" aca="1" ref="I6" ca="1">INDIRECT("'"&amp;$B$3&amp;"'!"&amp;CHAR(64+COLUMN())&amp;(ROW()-4))</f>
        <v>23.66</v>
      </c>
      <c r="J6" s="43">
        <f t="array" aca="1" ref="J6" ca="1">INDIRECT("'"&amp;$B$3&amp;"'!"&amp;CHAR(64+COLUMN())&amp;(ROW()-4))</f>
        <v>23.767499999999998</v>
      </c>
      <c r="K6" s="43">
        <f t="array" aca="1" ref="K6" ca="1">INDIRECT("'"&amp;$B$3&amp;"'!"&amp;CHAR(64+COLUMN())&amp;(ROW()-4))</f>
        <v>41.993196437619083</v>
      </c>
      <c r="L6" s="43">
        <f t="array" aca="1" ref="L6" ca="1">INDIRECT("'"&amp;$B$3&amp;"'!"&amp;CHAR(64+COLUMN())&amp;(ROW()-4))</f>
        <v>41.482802306603553</v>
      </c>
      <c r="M6" s="43">
        <f t="array" aca="1" ref="M6" ca="1">INDIRECT("'"&amp;$B$3&amp;"'!"&amp;CHAR(64+COLUMN())&amp;(ROW()-4))</f>
        <v>23.29984528251919</v>
      </c>
      <c r="N6" s="43">
        <f t="array" aca="1" ref="N6" ca="1">INDIRECT("'"&amp;$B$3&amp;"'!"&amp;CHAR(64+COLUMN())&amp;(ROW()-4))</f>
        <v>30.638963791008241</v>
      </c>
      <c r="O6" s="43">
        <f t="array" aca="1" ref="O6" ca="1">INDIRECT("'"&amp;$B$3&amp;"'!"&amp;CHAR(64+COLUMN())&amp;(ROW()-4))</f>
        <v>-5.8184519227614473E-2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23.7</v>
      </c>
      <c r="D7" s="43">
        <f t="array" aca="1" ref="D7" ca="1">INDIRECT("'"&amp;$B$3&amp;"'!"&amp;CHAR(64+COLUMN())&amp;(ROW()-4))</f>
        <v>23.2</v>
      </c>
      <c r="E7" s="43">
        <f t="array" aca="1" ref="E7" ca="1">INDIRECT("'"&amp;$B$3&amp;"'!"&amp;CHAR(64+COLUMN())&amp;(ROW()-4))</f>
        <v>23.3</v>
      </c>
      <c r="F7" s="43">
        <f t="array" aca="1" ref="F7" ca="1">INDIRECT("'"&amp;$B$3&amp;"'!"&amp;CHAR(64+COLUMN())&amp;(ROW()-4))</f>
        <v>3193</v>
      </c>
      <c r="G7" s="43">
        <f t="array" aca="1" ref="G7" ca="1">INDIRECT("'"&amp;$B$3&amp;"'!"&amp;CHAR(64+COLUMN())&amp;(ROW()-4))</f>
        <v>0</v>
      </c>
      <c r="H7" s="43">
        <f t="array" aca="1" ref="H7" ca="1">INDIRECT("'"&amp;$B$3&amp;"'!"&amp;CHAR(64+COLUMN())&amp;(ROW()-4))</f>
        <v>23.22</v>
      </c>
      <c r="I7" s="43">
        <f t="array" aca="1" ref="I7" ca="1">INDIRECT("'"&amp;$B$3&amp;"'!"&amp;CHAR(64+COLUMN())&amp;(ROW()-4))</f>
        <v>23.56</v>
      </c>
      <c r="J7" s="43">
        <f t="array" aca="1" ref="J7" ca="1">INDIRECT("'"&amp;$B$3&amp;"'!"&amp;CHAR(64+COLUMN())&amp;(ROW()-4))</f>
        <v>23.745000000000001</v>
      </c>
      <c r="K7" s="43">
        <f t="array" aca="1" ref="K7" ca="1">INDIRECT("'"&amp;$B$3&amp;"'!"&amp;CHAR(64+COLUMN())&amp;(ROW()-4))</f>
        <v>41.993196437619083</v>
      </c>
      <c r="L7" s="43">
        <f t="array" aca="1" ref="L7" ca="1">INDIRECT("'"&amp;$B$3&amp;"'!"&amp;CHAR(64+COLUMN())&amp;(ROW()-4))</f>
        <v>41.482802306603553</v>
      </c>
      <c r="M7" s="43">
        <f t="array" aca="1" ref="M7" ca="1">INDIRECT("'"&amp;$B$3&amp;"'!"&amp;CHAR(64+COLUMN())&amp;(ROW()-4))</f>
        <v>28.436455994797772</v>
      </c>
      <c r="N7" s="43">
        <f t="array" aca="1" ref="N7" ca="1">INDIRECT("'"&amp;$B$3&amp;"'!"&amp;CHAR(64+COLUMN())&amp;(ROW()-4))</f>
        <v>29.90479452560475</v>
      </c>
      <c r="O7" s="43">
        <f t="array" aca="1" ref="O7" ca="1">INDIRECT("'"&amp;$B$3&amp;"'!"&amp;CHAR(64+COLUMN())&amp;(ROW()-4))</f>
        <v>-4.2548575469935179E-2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23.5</v>
      </c>
      <c r="D8" s="43">
        <f t="array" aca="1" ref="D8" ca="1">INDIRECT("'"&amp;$B$3&amp;"'!"&amp;CHAR(64+COLUMN())&amp;(ROW()-4))</f>
        <v>23.1</v>
      </c>
      <c r="E8" s="43">
        <f t="array" aca="1" ref="E8" ca="1">INDIRECT("'"&amp;$B$3&amp;"'!"&amp;CHAR(64+COLUMN())&amp;(ROW()-4))</f>
        <v>23.2</v>
      </c>
      <c r="F8" s="43">
        <f t="array" aca="1" ref="F8" ca="1">INDIRECT("'"&amp;$B$3&amp;"'!"&amp;CHAR(64+COLUMN())&amp;(ROW()-4))</f>
        <v>2578</v>
      </c>
      <c r="G8" s="43">
        <f t="array" aca="1" ref="G8" ca="1">INDIRECT("'"&amp;$B$3&amp;"'!"&amp;CHAR(64+COLUMN())&amp;(ROW()-4))</f>
        <v>-0.42918454935622918</v>
      </c>
      <c r="H8" s="43">
        <f t="array" aca="1" ref="H8" ca="1">INDIRECT("'"&amp;$B$3&amp;"'!"&amp;CHAR(64+COLUMN())&amp;(ROW()-4))</f>
        <v>23.13</v>
      </c>
      <c r="I8" s="43">
        <f t="array" aca="1" ref="I8" ca="1">INDIRECT("'"&amp;$B$3&amp;"'!"&amp;CHAR(64+COLUMN())&amp;(ROW()-4))</f>
        <v>23.45</v>
      </c>
      <c r="J8" s="43">
        <f t="array" aca="1" ref="J8" ca="1">INDIRECT("'"&amp;$B$3&amp;"'!"&amp;CHAR(64+COLUMN())&amp;(ROW()-4))</f>
        <v>23.717500000000001</v>
      </c>
      <c r="K8" s="43">
        <f t="array" aca="1" ref="K8" ca="1">INDIRECT("'"&amp;$B$3&amp;"'!"&amp;CHAR(64+COLUMN())&amp;(ROW()-4))</f>
        <v>39.398341904777119</v>
      </c>
      <c r="L8" s="43">
        <f t="array" aca="1" ref="L8" ca="1">INDIRECT("'"&amp;$B$3&amp;"'!"&amp;CHAR(64+COLUMN())&amp;(ROW()-4))</f>
        <v>40.364817587090997</v>
      </c>
      <c r="M8" s="43">
        <f t="array" aca="1" ref="M8" ca="1">INDIRECT("'"&amp;$B$3&amp;"'!"&amp;CHAR(64+COLUMN())&amp;(ROW()-4))</f>
        <v>30.451890203428398</v>
      </c>
      <c r="N8" s="43">
        <f t="array" aca="1" ref="N8" ca="1">INDIRECT("'"&amp;$B$3&amp;"'!"&amp;CHAR(64+COLUMN())&amp;(ROW()-4))</f>
        <v>30.087159751545961</v>
      </c>
      <c r="O8" s="43">
        <f t="array" aca="1" ref="O8" ca="1">INDIRECT("'"&amp;$B$3&amp;"'!"&amp;CHAR(64+COLUMN())&amp;(ROW()-4))</f>
        <v>-3.3489619151159167E-2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MA10=24.9  MA20=24.5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24</v>
      </c>
      <c r="D9" s="43">
        <f t="array" aca="1" ref="D9" ca="1">INDIRECT("'"&amp;$B$3&amp;"'!"&amp;CHAR(64+COLUMN())&amp;(ROW()-4))</f>
        <v>23.5</v>
      </c>
      <c r="E9" s="43">
        <f t="array" aca="1" ref="E9" ca="1">INDIRECT("'"&amp;$B$3&amp;"'!"&amp;CHAR(64+COLUMN())&amp;(ROW()-4))</f>
        <v>23.8</v>
      </c>
      <c r="F9" s="43">
        <f t="array" aca="1" ref="F9" ca="1">INDIRECT("'"&amp;$B$3&amp;"'!"&amp;CHAR(64+COLUMN())&amp;(ROW()-4))</f>
        <v>4776</v>
      </c>
      <c r="G9" s="43">
        <f t="array" aca="1" ref="G9" ca="1">INDIRECT("'"&amp;$B$3&amp;"'!"&amp;CHAR(64+COLUMN())&amp;(ROW()-4))</f>
        <v>2.58620689655173</v>
      </c>
      <c r="H9" s="43">
        <f t="array" aca="1" ref="H9" ca="1">INDIRECT("'"&amp;$B$3&amp;"'!"&amp;CHAR(64+COLUMN())&amp;(ROW()-4))</f>
        <v>23.27</v>
      </c>
      <c r="I9" s="43">
        <f t="array" aca="1" ref="I9" ca="1">INDIRECT("'"&amp;$B$3&amp;"'!"&amp;CHAR(64+COLUMN())&amp;(ROW()-4))</f>
        <v>23.46</v>
      </c>
      <c r="J9" s="43">
        <f t="array" aca="1" ref="J9" ca="1">INDIRECT("'"&amp;$B$3&amp;"'!"&amp;CHAR(64+COLUMN())&amp;(ROW()-4))</f>
        <v>23.747499999999999</v>
      </c>
      <c r="K9" s="43">
        <f t="array" aca="1" ref="K9" ca="1">INDIRECT("'"&amp;$B$3&amp;"'!"&amp;CHAR(64+COLUMN())&amp;(ROW()-4))</f>
        <v>58.058357828031497</v>
      </c>
      <c r="L9" s="43">
        <f t="array" aca="1" ref="L9" ca="1">INDIRECT("'"&amp;$B$3&amp;"'!"&amp;CHAR(64+COLUMN())&amp;(ROW()-4))</f>
        <v>49.307211097492818</v>
      </c>
      <c r="M9" s="43">
        <f t="array" aca="1" ref="M9" ca="1">INDIRECT("'"&amp;$B$3&amp;"'!"&amp;CHAR(64+COLUMN())&amp;(ROW()-4))</f>
        <v>45.588616457458059</v>
      </c>
      <c r="N9" s="43">
        <f t="array" aca="1" ref="N9" ca="1">INDIRECT("'"&amp;$B$3&amp;"'!"&amp;CHAR(64+COLUMN())&amp;(ROW()-4))</f>
        <v>35.254311986849991</v>
      </c>
      <c r="O9" s="43">
        <f t="array" aca="1" ref="O9" ca="1">INDIRECT("'"&amp;$B$3&amp;"'!"&amp;CHAR(64+COLUMN())&amp;(ROW()-4))</f>
        <v>1.572081768754785E-2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KD金叉:✗(K=21)  RSI6:34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24.4</v>
      </c>
      <c r="D10" s="43">
        <f t="array" aca="1" ref="D10" ca="1">INDIRECT("'"&amp;$B$3&amp;"'!"&amp;CHAR(64+COLUMN())&amp;(ROW()-4))</f>
        <v>23.55</v>
      </c>
      <c r="E10" s="43">
        <f t="array" aca="1" ref="E10" ca="1">INDIRECT("'"&amp;$B$3&amp;"'!"&amp;CHAR(64+COLUMN())&amp;(ROW()-4))</f>
        <v>24.35</v>
      </c>
      <c r="F10" s="43">
        <f t="array" aca="1" ref="F10" ca="1">INDIRECT("'"&amp;$B$3&amp;"'!"&amp;CHAR(64+COLUMN())&amp;(ROW()-4))</f>
        <v>6090</v>
      </c>
      <c r="G10" s="43">
        <f t="array" aca="1" ref="G10" ca="1">INDIRECT("'"&amp;$B$3&amp;"'!"&amp;CHAR(64+COLUMN())&amp;(ROW()-4))</f>
        <v>2.3109243697479021</v>
      </c>
      <c r="H10" s="43">
        <f t="array" aca="1" ref="H10" ca="1">INDIRECT("'"&amp;$B$3&amp;"'!"&amp;CHAR(64+COLUMN())&amp;(ROW()-4))</f>
        <v>23.59</v>
      </c>
      <c r="I10" s="43">
        <f t="array" aca="1" ref="I10" ca="1">INDIRECT("'"&amp;$B$3&amp;"'!"&amp;CHAR(64+COLUMN())&amp;(ROW()-4))</f>
        <v>23.53</v>
      </c>
      <c r="J10" s="43">
        <f t="array" aca="1" ref="J10" ca="1">INDIRECT("'"&amp;$B$3&amp;"'!"&amp;CHAR(64+COLUMN())&amp;(ROW()-4))</f>
        <v>23.815000000000001</v>
      </c>
      <c r="K10" s="43">
        <f t="array" aca="1" ref="K10" ca="1">INDIRECT("'"&amp;$B$3&amp;"'!"&amp;CHAR(64+COLUMN())&amp;(ROW()-4))</f>
        <v>68.669963243475848</v>
      </c>
      <c r="L10" s="43">
        <f t="array" aca="1" ref="L10" ca="1">INDIRECT("'"&amp;$B$3&amp;"'!"&amp;CHAR(64+COLUMN())&amp;(ROW()-4))</f>
        <v>55.917460299256433</v>
      </c>
      <c r="M10" s="43">
        <f t="array" aca="1" ref="M10" ca="1">INDIRECT("'"&amp;$B$3&amp;"'!"&amp;CHAR(64+COLUMN())&amp;(ROW()-4))</f>
        <v>62.74535214810934</v>
      </c>
      <c r="N10" s="43">
        <f t="array" aca="1" ref="N10" ca="1">INDIRECT("'"&amp;$B$3&amp;"'!"&amp;CHAR(64+COLUMN())&amp;(ROW()-4))</f>
        <v>44.41799204060311</v>
      </c>
      <c r="O10" s="43">
        <f t="array" aca="1" ref="O10" ca="1">INDIRECT("'"&amp;$B$3&amp;"'!"&amp;CHAR(64+COLUMN())&amp;(ROW()-4))</f>
        <v>8.4291018122843342E-2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今量=2,651  5日均=4,843  比值=0.55x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24.55</v>
      </c>
      <c r="D11" s="43">
        <f t="array" aca="1" ref="D11" ca="1">INDIRECT("'"&amp;$B$3&amp;"'!"&amp;CHAR(64+COLUMN())&amp;(ROW()-4))</f>
        <v>24.05</v>
      </c>
      <c r="E11" s="43">
        <f t="array" aca="1" ref="E11" ca="1">INDIRECT("'"&amp;$B$3&amp;"'!"&amp;CHAR(64+COLUMN())&amp;(ROW()-4))</f>
        <v>24.05</v>
      </c>
      <c r="F11" s="43">
        <f t="array" aca="1" ref="F11" ca="1">INDIRECT("'"&amp;$B$3&amp;"'!"&amp;CHAR(64+COLUMN())&amp;(ROW()-4))</f>
        <v>3980</v>
      </c>
      <c r="G11" s="43">
        <f t="array" aca="1" ref="G11" ca="1">INDIRECT("'"&amp;$B$3&amp;"'!"&amp;CHAR(64+COLUMN())&amp;(ROW()-4))</f>
        <v>-1.2320328542094481</v>
      </c>
      <c r="H11" s="43">
        <f t="array" aca="1" ref="H11" ca="1">INDIRECT("'"&amp;$B$3&amp;"'!"&amp;CHAR(64+COLUMN())&amp;(ROW()-4))</f>
        <v>23.74</v>
      </c>
      <c r="I11" s="43">
        <f t="array" aca="1" ref="I11" ca="1">INDIRECT("'"&amp;$B$3&amp;"'!"&amp;CHAR(64+COLUMN())&amp;(ROW()-4))</f>
        <v>23.555</v>
      </c>
      <c r="J11" s="43">
        <f t="array" aca="1" ref="J11" ca="1">INDIRECT("'"&amp;$B$3&amp;"'!"&amp;CHAR(64+COLUMN())&amp;(ROW()-4))</f>
        <v>23.827500000000001</v>
      </c>
      <c r="K11" s="43">
        <f t="array" aca="1" ref="K11" ca="1">INDIRECT("'"&amp;$B$3&amp;"'!"&amp;CHAR(64+COLUMN())&amp;(ROW()-4))</f>
        <v>58.913540761205603</v>
      </c>
      <c r="L11" s="43">
        <f t="array" aca="1" ref="L11" ca="1">INDIRECT("'"&amp;$B$3&amp;"'!"&amp;CHAR(64+COLUMN())&amp;(ROW()-4))</f>
        <v>51.891108470302271</v>
      </c>
      <c r="M11" s="43">
        <f t="array" aca="1" ref="M11" ca="1">INDIRECT("'"&amp;$B$3&amp;"'!"&amp;CHAR(64+COLUMN())&amp;(ROW()-4))</f>
        <v>66.154559089730554</v>
      </c>
      <c r="N11" s="43">
        <f t="array" aca="1" ref="N11" ca="1">INDIRECT("'"&amp;$B$3&amp;"'!"&amp;CHAR(64+COLUMN())&amp;(ROW()-4))</f>
        <v>51.663514390312258</v>
      </c>
      <c r="O11" s="43">
        <f t="array" aca="1" ref="O11" ca="1">INDIRECT("'"&amp;$B$3&amp;"'!"&amp;CHAR(64+COLUMN())&amp;(ROW()-4))</f>
        <v>0.1069638495801991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MA10=24.9  中 -5%=22.7  鬆 MA20=24.5  (σ=1.8%)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24.15</v>
      </c>
      <c r="D12" s="43">
        <f t="array" aca="1" ref="D12" ca="1">INDIRECT("'"&amp;$B$3&amp;"'!"&amp;CHAR(64+COLUMN())&amp;(ROW()-4))</f>
        <v>23.8</v>
      </c>
      <c r="E12" s="43">
        <f t="array" aca="1" ref="E12" ca="1">INDIRECT("'"&amp;$B$3&amp;"'!"&amp;CHAR(64+COLUMN())&amp;(ROW()-4))</f>
        <v>24.05</v>
      </c>
      <c r="F12" s="43">
        <f t="array" aca="1" ref="F12" ca="1">INDIRECT("'"&amp;$B$3&amp;"'!"&amp;CHAR(64+COLUMN())&amp;(ROW()-4))</f>
        <v>2762</v>
      </c>
      <c r="G12" s="43">
        <f t="array" aca="1" ref="G12" ca="1">INDIRECT("'"&amp;$B$3&amp;"'!"&amp;CHAR(64+COLUMN())&amp;(ROW()-4))</f>
        <v>0</v>
      </c>
      <c r="H12" s="43">
        <f t="array" aca="1" ref="H12" ca="1">INDIRECT("'"&amp;$B$3&amp;"'!"&amp;CHAR(64+COLUMN())&amp;(ROW()-4))</f>
        <v>23.89</v>
      </c>
      <c r="I12" s="43">
        <f t="array" aca="1" ref="I12" ca="1">INDIRECT("'"&amp;$B$3&amp;"'!"&amp;CHAR(64+COLUMN())&amp;(ROW()-4))</f>
        <v>23.555</v>
      </c>
      <c r="J12" s="43">
        <f t="array" aca="1" ref="J12" ca="1">INDIRECT("'"&amp;$B$3&amp;"'!"&amp;CHAR(64+COLUMN())&amp;(ROW()-4))</f>
        <v>23.8475</v>
      </c>
      <c r="K12" s="43">
        <f t="array" aca="1" ref="K12" ca="1">INDIRECT("'"&amp;$B$3&amp;"'!"&amp;CHAR(64+COLUMN())&amp;(ROW()-4))</f>
        <v>58.913540761205603</v>
      </c>
      <c r="L12" s="43">
        <f t="array" aca="1" ref="L12" ca="1">INDIRECT("'"&amp;$B$3&amp;"'!"&amp;CHAR(64+COLUMN())&amp;(ROW()-4))</f>
        <v>51.891108470302271</v>
      </c>
      <c r="M12" s="43">
        <f t="array" aca="1" ref="M12" ca="1">INDIRECT("'"&amp;$B$3&amp;"'!"&amp;CHAR(64+COLUMN())&amp;(ROW()-4))</f>
        <v>68.42736371747803</v>
      </c>
      <c r="N12" s="43">
        <f t="array" aca="1" ref="N12" ca="1">INDIRECT("'"&amp;$B$3&amp;"'!"&amp;CHAR(64+COLUMN())&amp;(ROW()-4))</f>
        <v>57.251464166034182</v>
      </c>
      <c r="O12" s="43">
        <f t="array" aca="1" ref="O12" ca="1">INDIRECT("'"&amp;$B$3&amp;"'!"&amp;CHAR(64+COLUMN())&amp;(ROW()-4))</f>
        <v>0.1185820589474493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收盤=23.9  MA5=24.2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24.45</v>
      </c>
      <c r="D13" s="43">
        <f t="array" aca="1" ref="D13" ca="1">INDIRECT("'"&amp;$B$3&amp;"'!"&amp;CHAR(64+COLUMN())&amp;(ROW()-4))</f>
        <v>24.15</v>
      </c>
      <c r="E13" s="43">
        <f t="array" aca="1" ref="E13" ca="1">INDIRECT("'"&amp;$B$3&amp;"'!"&amp;CHAR(64+COLUMN())&amp;(ROW()-4))</f>
        <v>24.2</v>
      </c>
      <c r="F13" s="43">
        <f t="array" aca="1" ref="F13" ca="1">INDIRECT("'"&amp;$B$3&amp;"'!"&amp;CHAR(64+COLUMN())&amp;(ROW()-4))</f>
        <v>3773</v>
      </c>
      <c r="G13" s="43">
        <f t="array" aca="1" ref="G13" ca="1">INDIRECT("'"&amp;$B$3&amp;"'!"&amp;CHAR(64+COLUMN())&amp;(ROW()-4))</f>
        <v>0.62370062370061774</v>
      </c>
      <c r="H13" s="43">
        <f t="array" aca="1" ref="H13" ca="1">INDIRECT("'"&amp;$B$3&amp;"'!"&amp;CHAR(64+COLUMN())&amp;(ROW()-4))</f>
        <v>24.09</v>
      </c>
      <c r="I13" s="43">
        <f t="array" aca="1" ref="I13" ca="1">INDIRECT("'"&amp;$B$3&amp;"'!"&amp;CHAR(64+COLUMN())&amp;(ROW()-4))</f>
        <v>23.61</v>
      </c>
      <c r="J13" s="43">
        <f t="array" aca="1" ref="J13" ca="1">INDIRECT("'"&amp;$B$3&amp;"'!"&amp;CHAR(64+COLUMN())&amp;(ROW()-4))</f>
        <v>23.85</v>
      </c>
      <c r="K13" s="43">
        <f t="array" aca="1" ref="K13" ca="1">INDIRECT("'"&amp;$B$3&amp;"'!"&amp;CHAR(64+COLUMN())&amp;(ROW()-4))</f>
        <v>62.726454539233053</v>
      </c>
      <c r="L13" s="43">
        <f t="array" aca="1" ref="L13" ca="1">INDIRECT("'"&amp;$B$3&amp;"'!"&amp;CHAR(64+COLUMN())&amp;(ROW()-4))</f>
        <v>53.867698198577067</v>
      </c>
      <c r="M13" s="43">
        <f t="array" aca="1" ref="M13" ca="1">INDIRECT("'"&amp;$B$3&amp;"'!"&amp;CHAR(64+COLUMN())&amp;(ROW()-4))</f>
        <v>72.645269505345695</v>
      </c>
      <c r="N13" s="43">
        <f t="array" aca="1" ref="N13" ca="1">INDIRECT("'"&amp;$B$3&amp;"'!"&amp;CHAR(64+COLUMN())&amp;(ROW()-4))</f>
        <v>62.382732612471351</v>
      </c>
      <c r="O13" s="43">
        <f t="array" aca="1" ref="O13" ca="1">INDIRECT("'"&amp;$B$3&amp;"'!"&amp;CHAR(64+COLUMN())&amp;(ROW()-4))</f>
        <v>0.13196477669265769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🔴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破MA20:✓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24.85</v>
      </c>
      <c r="D14" s="43">
        <f t="array" aca="1" ref="D14" ca="1">INDIRECT("'"&amp;$B$3&amp;"'!"&amp;CHAR(64+COLUMN())&amp;(ROW()-4))</f>
        <v>24.3</v>
      </c>
      <c r="E14" s="43">
        <f t="array" aca="1" ref="E14" ca="1">INDIRECT("'"&amp;$B$3&amp;"'!"&amp;CHAR(64+COLUMN())&amp;(ROW()-4))</f>
        <v>24.7</v>
      </c>
      <c r="F14" s="43">
        <f t="array" aca="1" ref="F14" ca="1">INDIRECT("'"&amp;$B$3&amp;"'!"&amp;CHAR(64+COLUMN())&amp;(ROW()-4))</f>
        <v>6981</v>
      </c>
      <c r="G14" s="43">
        <f t="array" aca="1" ref="G14" ca="1">INDIRECT("'"&amp;$B$3&amp;"'!"&amp;CHAR(64+COLUMN())&amp;(ROW()-4))</f>
        <v>2.0661157024793391</v>
      </c>
      <c r="H14" s="43">
        <f t="array" aca="1" ref="H14" ca="1">INDIRECT("'"&amp;$B$3&amp;"'!"&amp;CHAR(64+COLUMN())&amp;(ROW()-4))</f>
        <v>24.27</v>
      </c>
      <c r="I14" s="43">
        <f t="array" aca="1" ref="I14" ca="1">INDIRECT("'"&amp;$B$3&amp;"'!"&amp;CHAR(64+COLUMN())&amp;(ROW()-4))</f>
        <v>23.77</v>
      </c>
      <c r="J14" s="43">
        <f t="array" aca="1" ref="J14" ca="1">INDIRECT("'"&amp;$B$3&amp;"'!"&amp;CHAR(64+COLUMN())&amp;(ROW()-4))</f>
        <v>23.8675</v>
      </c>
      <c r="K14" s="43">
        <f t="array" aca="1" ref="K14" ca="1">INDIRECT("'"&amp;$B$3&amp;"'!"&amp;CHAR(64+COLUMN())&amp;(ROW()-4))</f>
        <v>72.817016971485344</v>
      </c>
      <c r="L14" s="43">
        <f t="array" aca="1" ref="L14" ca="1">INDIRECT("'"&amp;$B$3&amp;"'!"&amp;CHAR(64+COLUMN())&amp;(ROW()-4))</f>
        <v>59.864109247402688</v>
      </c>
      <c r="M14" s="43">
        <f t="array" aca="1" ref="M14" ca="1">INDIRECT("'"&amp;$B$3&amp;"'!"&amp;CHAR(64+COLUMN())&amp;(ROW()-4))</f>
        <v>79.19941043946119</v>
      </c>
      <c r="N14" s="43">
        <f t="array" aca="1" ref="N14" ca="1">INDIRECT("'"&amp;$B$3&amp;"'!"&amp;CHAR(64+COLUMN())&amp;(ROW()-4))</f>
        <v>67.988291888134626</v>
      </c>
      <c r="O14" s="43">
        <f t="array" aca="1" ref="O14" ca="1">INDIRECT("'"&amp;$B$3&amp;"'!"&amp;CHAR(64+COLUMN())&amp;(ROW()-4))</f>
        <v>0.16778731784322851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25.45</v>
      </c>
      <c r="D15" s="43">
        <f t="array" aca="1" ref="D15" ca="1">INDIRECT("'"&amp;$B$3&amp;"'!"&amp;CHAR(64+COLUMN())&amp;(ROW()-4))</f>
        <v>25</v>
      </c>
      <c r="E15" s="43">
        <f t="array" aca="1" ref="E15" ca="1">INDIRECT("'"&amp;$B$3&amp;"'!"&amp;CHAR(64+COLUMN())&amp;(ROW()-4))</f>
        <v>25.25</v>
      </c>
      <c r="F15" s="43">
        <f t="array" aca="1" ref="F15" ca="1">INDIRECT("'"&amp;$B$3&amp;"'!"&amp;CHAR(64+COLUMN())&amp;(ROW()-4))</f>
        <v>5276</v>
      </c>
      <c r="G15" s="43">
        <f t="array" aca="1" ref="G15" ca="1">INDIRECT("'"&amp;$B$3&amp;"'!"&amp;CHAR(64+COLUMN())&amp;(ROW()-4))</f>
        <v>2.2267206477732819</v>
      </c>
      <c r="H15" s="43">
        <f t="array" aca="1" ref="H15" ca="1">INDIRECT("'"&amp;$B$3&amp;"'!"&amp;CHAR(64+COLUMN())&amp;(ROW()-4))</f>
        <v>24.45</v>
      </c>
      <c r="I15" s="43">
        <f t="array" aca="1" ref="I15" ca="1">INDIRECT("'"&amp;$B$3&amp;"'!"&amp;CHAR(64+COLUMN())&amp;(ROW()-4))</f>
        <v>24.02</v>
      </c>
      <c r="J15" s="43">
        <f t="array" aca="1" ref="J15" ca="1">INDIRECT("'"&amp;$B$3&amp;"'!"&amp;CHAR(64+COLUMN())&amp;(ROW()-4))</f>
        <v>23.905000000000001</v>
      </c>
      <c r="K15" s="43">
        <f t="array" aca="1" ref="K15" ca="1">INDIRECT("'"&amp;$B$3&amp;"'!"&amp;CHAR(64+COLUMN())&amp;(ROW()-4))</f>
        <v>79.973427274310353</v>
      </c>
      <c r="L15" s="43">
        <f t="array" aca="1" ref="L15" ca="1">INDIRECT("'"&amp;$B$3&amp;"'!"&amp;CHAR(64+COLUMN())&amp;(ROW()-4))</f>
        <v>65.279755535829366</v>
      </c>
      <c r="M15" s="43">
        <f t="array" aca="1" ref="M15" ca="1">INDIRECT("'"&amp;$B$3&amp;"'!"&amp;CHAR(64+COLUMN())&amp;(ROW()-4))</f>
        <v>83.296060860350025</v>
      </c>
      <c r="N15" s="43">
        <f t="array" aca="1" ref="N15" ca="1">INDIRECT("'"&amp;$B$3&amp;"'!"&amp;CHAR(64+COLUMN())&amp;(ROW()-4))</f>
        <v>73.090881545539759</v>
      </c>
      <c r="O15" s="43">
        <f t="array" aca="1" ref="O15" ca="1">INDIRECT("'"&amp;$B$3&amp;"'!"&amp;CHAR(64+COLUMN())&amp;(ROW()-4))</f>
        <v>0.21860529072524229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0  危險 4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出場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25.8</v>
      </c>
      <c r="D16" s="43">
        <f t="array" aca="1" ref="D16" ca="1">INDIRECT("'"&amp;$B$3&amp;"'!"&amp;CHAR(64+COLUMN())&amp;(ROW()-4))</f>
        <v>25.1</v>
      </c>
      <c r="E16" s="43">
        <f t="array" aca="1" ref="E16" ca="1">INDIRECT("'"&amp;$B$3&amp;"'!"&amp;CHAR(64+COLUMN())&amp;(ROW()-4))</f>
        <v>25.65</v>
      </c>
      <c r="F16" s="43">
        <f t="array" aca="1" ref="F16" ca="1">INDIRECT("'"&amp;$B$3&amp;"'!"&amp;CHAR(64+COLUMN())&amp;(ROW()-4))</f>
        <v>6422</v>
      </c>
      <c r="G16" s="43">
        <f t="array" aca="1" ref="G16" ca="1">INDIRECT("'"&amp;$B$3&amp;"'!"&amp;CHAR(64+COLUMN())&amp;(ROW()-4))</f>
        <v>1.5841584158415789</v>
      </c>
      <c r="H16" s="43">
        <f t="array" aca="1" ref="H16" ca="1">INDIRECT("'"&amp;$B$3&amp;"'!"&amp;CHAR(64+COLUMN())&amp;(ROW()-4))</f>
        <v>24.77</v>
      </c>
      <c r="I16" s="43">
        <f t="array" aca="1" ref="I16" ca="1">INDIRECT("'"&amp;$B$3&amp;"'!"&amp;CHAR(64+COLUMN())&amp;(ROW()-4))</f>
        <v>24.254999999999999</v>
      </c>
      <c r="J16" s="43">
        <f t="array" aca="1" ref="J16" ca="1">INDIRECT("'"&amp;$B$3&amp;"'!"&amp;CHAR(64+COLUMN())&amp;(ROW()-4))</f>
        <v>23.9575</v>
      </c>
      <c r="K16" s="43">
        <f t="array" aca="1" ref="K16" ca="1">INDIRECT("'"&amp;$B$3&amp;"'!"&amp;CHAR(64+COLUMN())&amp;(ROW()-4))</f>
        <v>83.715071724631258</v>
      </c>
      <c r="L16" s="43">
        <f t="array" aca="1" ref="L16" ca="1">INDIRECT("'"&amp;$B$3&amp;"'!"&amp;CHAR(64+COLUMN())&amp;(ROW()-4))</f>
        <v>68.637264520594158</v>
      </c>
      <c r="M16" s="43">
        <f t="array" aca="1" ref="M16" ca="1">INDIRECT("'"&amp;$B$3&amp;"'!"&amp;CHAR(64+COLUMN())&amp;(ROW()-4))</f>
        <v>87.012188721714807</v>
      </c>
      <c r="N16" s="43">
        <f t="array" aca="1" ref="N16" ca="1">INDIRECT("'"&amp;$B$3&amp;"'!"&amp;CHAR(64+COLUMN())&amp;(ROW()-4))</f>
        <v>77.731317270931441</v>
      </c>
      <c r="O16" s="43">
        <f t="array" aca="1" ref="O16" ca="1">INDIRECT("'"&amp;$B$3&amp;"'!"&amp;CHAR(64+COLUMN())&amp;(ROW()-4))</f>
        <v>0.26608725234602493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25.9</v>
      </c>
      <c r="D17" s="43">
        <f t="array" aca="1" ref="D17" ca="1">INDIRECT("'"&amp;$B$3&amp;"'!"&amp;CHAR(64+COLUMN())&amp;(ROW()-4))</f>
        <v>25.55</v>
      </c>
      <c r="E17" s="43">
        <f t="array" aca="1" ref="E17" ca="1">INDIRECT("'"&amp;$B$3&amp;"'!"&amp;CHAR(64+COLUMN())&amp;(ROW()-4))</f>
        <v>25.65</v>
      </c>
      <c r="F17" s="43">
        <f t="array" aca="1" ref="F17" ca="1">INDIRECT("'"&amp;$B$3&amp;"'!"&amp;CHAR(64+COLUMN())&amp;(ROW()-4))</f>
        <v>5701</v>
      </c>
      <c r="G17" s="43">
        <f t="array" aca="1" ref="G17" ca="1">INDIRECT("'"&amp;$B$3&amp;"'!"&amp;CHAR(64+COLUMN())&amp;(ROW()-4))</f>
        <v>0</v>
      </c>
      <c r="H17" s="43">
        <f t="array" aca="1" ref="H17" ca="1">INDIRECT("'"&amp;$B$3&amp;"'!"&amp;CHAR(64+COLUMN())&amp;(ROW()-4))</f>
        <v>25.09</v>
      </c>
      <c r="I17" s="43">
        <f t="array" aca="1" ref="I17" ca="1">INDIRECT("'"&amp;$B$3&amp;"'!"&amp;CHAR(64+COLUMN())&amp;(ROW()-4))</f>
        <v>24.49</v>
      </c>
      <c r="J17" s="43">
        <f t="array" aca="1" ref="J17" ca="1">INDIRECT("'"&amp;$B$3&amp;"'!"&amp;CHAR(64+COLUMN())&amp;(ROW()-4))</f>
        <v>24.024999999999999</v>
      </c>
      <c r="K17" s="43">
        <f t="array" aca="1" ref="K17" ca="1">INDIRECT("'"&amp;$B$3&amp;"'!"&amp;CHAR(64+COLUMN())&amp;(ROW()-4))</f>
        <v>83.715071724631258</v>
      </c>
      <c r="L17" s="43">
        <f t="array" aca="1" ref="L17" ca="1">INDIRECT("'"&amp;$B$3&amp;"'!"&amp;CHAR(64+COLUMN())&amp;(ROW()-4))</f>
        <v>68.637264520594158</v>
      </c>
      <c r="M17" s="43">
        <f t="array" aca="1" ref="M17" ca="1">INDIRECT("'"&amp;$B$3&amp;"'!"&amp;CHAR(64+COLUMN())&amp;(ROW()-4))</f>
        <v>87.869236925587643</v>
      </c>
      <c r="N17" s="43">
        <f t="array" aca="1" ref="N17" ca="1">INDIRECT("'"&amp;$B$3&amp;"'!"&amp;CHAR(64+COLUMN())&amp;(ROW()-4))</f>
        <v>81.110623822483504</v>
      </c>
      <c r="O17" s="43">
        <f t="array" aca="1" ref="O17" ca="1">INDIRECT("'"&amp;$B$3&amp;"'!"&amp;CHAR(64+COLUMN())&amp;(ROW()-4))</f>
        <v>0.28285565165008048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25.85</v>
      </c>
      <c r="D18" s="43">
        <f t="array" aca="1" ref="D18" ca="1">INDIRECT("'"&amp;$B$3&amp;"'!"&amp;CHAR(64+COLUMN())&amp;(ROW()-4))</f>
        <v>25.55</v>
      </c>
      <c r="E18" s="43">
        <f t="array" aca="1" ref="E18" ca="1">INDIRECT("'"&amp;$B$3&amp;"'!"&amp;CHAR(64+COLUMN())&amp;(ROW()-4))</f>
        <v>25.65</v>
      </c>
      <c r="F18" s="43">
        <f t="array" aca="1" ref="F18" ca="1">INDIRECT("'"&amp;$B$3&amp;"'!"&amp;CHAR(64+COLUMN())&amp;(ROW()-4))</f>
        <v>3419</v>
      </c>
      <c r="G18" s="43">
        <f t="array" aca="1" ref="G18" ca="1">INDIRECT("'"&amp;$B$3&amp;"'!"&amp;CHAR(64+COLUMN())&amp;(ROW()-4))</f>
        <v>0</v>
      </c>
      <c r="H18" s="43">
        <f t="array" aca="1" ref="H18" ca="1">INDIRECT("'"&amp;$B$3&amp;"'!"&amp;CHAR(64+COLUMN())&amp;(ROW()-4))</f>
        <v>25.38</v>
      </c>
      <c r="I18" s="43">
        <f t="array" aca="1" ref="I18" ca="1">INDIRECT("'"&amp;$B$3&amp;"'!"&amp;CHAR(64+COLUMN())&amp;(ROW()-4))</f>
        <v>24.734999999999999</v>
      </c>
      <c r="J18" s="43">
        <f t="array" aca="1" ref="J18" ca="1">INDIRECT("'"&amp;$B$3&amp;"'!"&amp;CHAR(64+COLUMN())&amp;(ROW()-4))</f>
        <v>24.092500000000001</v>
      </c>
      <c r="K18" s="43">
        <f t="array" aca="1" ref="K18" ca="1">INDIRECT("'"&amp;$B$3&amp;"'!"&amp;CHAR(64+COLUMN())&amp;(ROW()-4))</f>
        <v>83.715071724631258</v>
      </c>
      <c r="L18" s="43">
        <f t="array" aca="1" ref="L18" ca="1">INDIRECT("'"&amp;$B$3&amp;"'!"&amp;CHAR(64+COLUMN())&amp;(ROW()-4))</f>
        <v>68.637264520594158</v>
      </c>
      <c r="M18" s="43">
        <f t="array" aca="1" ref="M18" ca="1">INDIRECT("'"&amp;$B$3&amp;"'!"&amp;CHAR(64+COLUMN())&amp;(ROW()-4))</f>
        <v>88.366725326278271</v>
      </c>
      <c r="N18" s="43">
        <f t="array" aca="1" ref="N18" ca="1">INDIRECT("'"&amp;$B$3&amp;"'!"&amp;CHAR(64+COLUMN())&amp;(ROW()-4))</f>
        <v>83.529324323748426</v>
      </c>
      <c r="O18" s="43">
        <f t="array" aca="1" ref="O18" ca="1">INDIRECT("'"&amp;$B$3&amp;"'!"&amp;CHAR(64+COLUMN())&amp;(ROW()-4))</f>
        <v>0.27884967266868121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26</v>
      </c>
      <c r="D19" s="43">
        <f t="array" aca="1" ref="D19" ca="1">INDIRECT("'"&amp;$B$3&amp;"'!"&amp;CHAR(64+COLUMN())&amp;(ROW()-4))</f>
        <v>25.45</v>
      </c>
      <c r="E19" s="43">
        <f t="array" aca="1" ref="E19" ca="1">INDIRECT("'"&amp;$B$3&amp;"'!"&amp;CHAR(64+COLUMN())&amp;(ROW()-4))</f>
        <v>26</v>
      </c>
      <c r="F19" s="43">
        <f t="array" aca="1" ref="F19" ca="1">INDIRECT("'"&amp;$B$3&amp;"'!"&amp;CHAR(64+COLUMN())&amp;(ROW()-4))</f>
        <v>5881</v>
      </c>
      <c r="G19" s="43">
        <f t="array" aca="1" ref="G19" ca="1">INDIRECT("'"&amp;$B$3&amp;"'!"&amp;CHAR(64+COLUMN())&amp;(ROW()-4))</f>
        <v>1.364522417154002</v>
      </c>
      <c r="H19" s="43">
        <f t="array" aca="1" ref="H19" ca="1">INDIRECT("'"&amp;$B$3&amp;"'!"&amp;CHAR(64+COLUMN())&amp;(ROW()-4))</f>
        <v>25.64</v>
      </c>
      <c r="I19" s="43">
        <f t="array" aca="1" ref="I19" ca="1">INDIRECT("'"&amp;$B$3&amp;"'!"&amp;CHAR(64+COLUMN())&amp;(ROW()-4))</f>
        <v>24.955000000000009</v>
      </c>
      <c r="J19" s="43">
        <f t="array" aca="1" ref="J19" ca="1">INDIRECT("'"&amp;$B$3&amp;"'!"&amp;CHAR(64+COLUMN())&amp;(ROW()-4))</f>
        <v>24.2075</v>
      </c>
      <c r="K19" s="43">
        <f t="array" aca="1" ref="K19" ca="1">INDIRECT("'"&amp;$B$3&amp;"'!"&amp;CHAR(64+COLUMN())&amp;(ROW()-4))</f>
        <v>87.302130770108988</v>
      </c>
      <c r="L19" s="43">
        <f t="array" aca="1" ref="L19" ca="1">INDIRECT("'"&amp;$B$3&amp;"'!"&amp;CHAR(64+COLUMN())&amp;(ROW()-4))</f>
        <v>71.741516691414844</v>
      </c>
      <c r="M19" s="43">
        <f t="array" aca="1" ref="M19" ca="1">INDIRECT("'"&amp;$B$3&amp;"'!"&amp;CHAR(64+COLUMN())&amp;(ROW()-4))</f>
        <v>92.244483550852181</v>
      </c>
      <c r="N19" s="43">
        <f t="array" aca="1" ref="N19" ca="1">INDIRECT("'"&amp;$B$3&amp;"'!"&amp;CHAR(64+COLUMN())&amp;(ROW()-4))</f>
        <v>86.434377399449673</v>
      </c>
      <c r="O19" s="43">
        <f t="array" aca="1" ref="O19" ca="1">INDIRECT("'"&amp;$B$3&amp;"'!"&amp;CHAR(64+COLUMN())&amp;(ROW()-4))</f>
        <v>0.28373334340900008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26.2</v>
      </c>
      <c r="D20" s="43">
        <f t="array" aca="1" ref="D20" ca="1">INDIRECT("'"&amp;$B$3&amp;"'!"&amp;CHAR(64+COLUMN())&amp;(ROW()-4))</f>
        <v>24.6</v>
      </c>
      <c r="E20" s="43">
        <f t="array" aca="1" ref="E20" ca="1">INDIRECT("'"&amp;$B$3&amp;"'!"&amp;CHAR(64+COLUMN())&amp;(ROW()-4))</f>
        <v>25.05</v>
      </c>
      <c r="F20" s="43">
        <f t="array" aca="1" ref="F20" ca="1">INDIRECT("'"&amp;$B$3&amp;"'!"&amp;CHAR(64+COLUMN())&amp;(ROW()-4))</f>
        <v>7263</v>
      </c>
      <c r="G20" s="43">
        <f t="array" aca="1" ref="G20" ca="1">INDIRECT("'"&amp;$B$3&amp;"'!"&amp;CHAR(64+COLUMN())&amp;(ROW()-4))</f>
        <v>-3.6538461538461511</v>
      </c>
      <c r="H20" s="43">
        <f t="array" aca="1" ref="H20" ca="1">INDIRECT("'"&amp;$B$3&amp;"'!"&amp;CHAR(64+COLUMN())&amp;(ROW()-4))</f>
        <v>25.6</v>
      </c>
      <c r="I20" s="43">
        <f t="array" aca="1" ref="I20" ca="1">INDIRECT("'"&amp;$B$3&amp;"'!"&amp;CHAR(64+COLUMN())&amp;(ROW()-4))</f>
        <v>25.024999999999999</v>
      </c>
      <c r="J20" s="43">
        <f t="array" aca="1" ref="J20" ca="1">INDIRECT("'"&amp;$B$3&amp;"'!"&amp;CHAR(64+COLUMN())&amp;(ROW()-4))</f>
        <v>24.2775</v>
      </c>
      <c r="K20" s="43">
        <f t="array" aca="1" ref="K20" ca="1">INDIRECT("'"&amp;$B$3&amp;"'!"&amp;CHAR(64+COLUMN())&amp;(ROW()-4))</f>
        <v>50.832520276163507</v>
      </c>
      <c r="L20" s="43">
        <f t="array" aca="1" ref="L20" ca="1">INDIRECT("'"&amp;$B$3&amp;"'!"&amp;CHAR(64+COLUMN())&amp;(ROW()-4))</f>
        <v>55.481083421295423</v>
      </c>
      <c r="M20" s="43">
        <f t="array" aca="1" ref="M20" ca="1">INDIRECT("'"&amp;$B$3&amp;"'!"&amp;CHAR(64+COLUMN())&amp;(ROW()-4))</f>
        <v>78.857433478345897</v>
      </c>
      <c r="N20" s="43">
        <f t="array" aca="1" ref="N20" ca="1">INDIRECT("'"&amp;$B$3&amp;"'!"&amp;CHAR(64+COLUMN())&amp;(ROW()-4))</f>
        <v>83.908729425748405</v>
      </c>
      <c r="O20" s="43">
        <f t="array" aca="1" ref="O20" ca="1">INDIRECT("'"&amp;$B$3&amp;"'!"&amp;CHAR(64+COLUMN())&amp;(ROW()-4))</f>
        <v>0.21032321563772549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25.2</v>
      </c>
      <c r="D21" s="43">
        <f t="array" aca="1" ref="D21" ca="1">INDIRECT("'"&amp;$B$3&amp;"'!"&amp;CHAR(64+COLUMN())&amp;(ROW()-4))</f>
        <v>24.35</v>
      </c>
      <c r="E21" s="43">
        <f t="array" aca="1" ref="E21" ca="1">INDIRECT("'"&amp;$B$3&amp;"'!"&amp;CHAR(64+COLUMN())&amp;(ROW()-4))</f>
        <v>24.6</v>
      </c>
      <c r="F21" s="43">
        <f t="array" aca="1" ref="F21" ca="1">INDIRECT("'"&amp;$B$3&amp;"'!"&amp;CHAR(64+COLUMN())&amp;(ROW()-4))</f>
        <v>7175</v>
      </c>
      <c r="G21" s="43">
        <f t="array" aca="1" ref="G21" ca="1">INDIRECT("'"&amp;$B$3&amp;"'!"&amp;CHAR(64+COLUMN())&amp;(ROW()-4))</f>
        <v>-1.79640718562874</v>
      </c>
      <c r="H21" s="43">
        <f t="array" aca="1" ref="H21" ca="1">INDIRECT("'"&amp;$B$3&amp;"'!"&amp;CHAR(64+COLUMN())&amp;(ROW()-4))</f>
        <v>25.39</v>
      </c>
      <c r="I21" s="43">
        <f t="array" aca="1" ref="I21" ca="1">INDIRECT("'"&amp;$B$3&amp;"'!"&amp;CHAR(64+COLUMN())&amp;(ROW()-4))</f>
        <v>25.08</v>
      </c>
      <c r="J21" s="43">
        <f t="array" aca="1" ref="J21" ca="1">INDIRECT("'"&amp;$B$3&amp;"'!"&amp;CHAR(64+COLUMN())&amp;(ROW()-4))</f>
        <v>24.317499999999999</v>
      </c>
      <c r="K21" s="43">
        <f t="array" aca="1" ref="K21" ca="1">INDIRECT("'"&amp;$B$3&amp;"'!"&amp;CHAR(64+COLUMN())&amp;(ROW()-4))</f>
        <v>41.078366442140947</v>
      </c>
      <c r="L21" s="43">
        <f t="array" aca="1" ref="L21" ca="1">INDIRECT("'"&amp;$B$3&amp;"'!"&amp;CHAR(64+COLUMN())&amp;(ROW()-4))</f>
        <v>49.664294559547038</v>
      </c>
      <c r="M21" s="43">
        <f t="array" aca="1" ref="M21" ca="1">INDIRECT("'"&amp;$B$3&amp;"'!"&amp;CHAR(64+COLUMN())&amp;(ROW()-4))</f>
        <v>59.888695489629008</v>
      </c>
      <c r="N21" s="43">
        <f t="array" aca="1" ref="N21" ca="1">INDIRECT("'"&amp;$B$3&amp;"'!"&amp;CHAR(64+COLUMN())&amp;(ROW()-4))</f>
        <v>75.902051447041941</v>
      </c>
      <c r="O21" s="43">
        <f t="array" aca="1" ref="O21" ca="1">INDIRECT("'"&amp;$B$3&amp;"'!"&amp;CHAR(64+COLUMN())&amp;(ROW()-4))</f>
        <v>0.12311779472094909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24.65</v>
      </c>
      <c r="D22" s="43">
        <f t="array" aca="1" ref="D22" ca="1">INDIRECT("'"&amp;$B$3&amp;"'!"&amp;CHAR(64+COLUMN())&amp;(ROW()-4))</f>
        <v>23.8</v>
      </c>
      <c r="E22" s="43">
        <f t="array" aca="1" ref="E22" ca="1">INDIRECT("'"&amp;$B$3&amp;"'!"&amp;CHAR(64+COLUMN())&amp;(ROW()-4))</f>
        <v>23.95</v>
      </c>
      <c r="F22" s="43">
        <f t="array" aca="1" ref="F22" ca="1">INDIRECT("'"&amp;$B$3&amp;"'!"&amp;CHAR(64+COLUMN())&amp;(ROW()-4))</f>
        <v>4950</v>
      </c>
      <c r="G22" s="43">
        <f t="array" aca="1" ref="G22" ca="1">INDIRECT("'"&amp;$B$3&amp;"'!"&amp;CHAR(64+COLUMN())&amp;(ROW()-4))</f>
        <v>-2.6422764227642359</v>
      </c>
      <c r="H22" s="43">
        <f t="array" aca="1" ref="H22" ca="1">INDIRECT("'"&amp;$B$3&amp;"'!"&amp;CHAR(64+COLUMN())&amp;(ROW()-4))</f>
        <v>25.05</v>
      </c>
      <c r="I22" s="43">
        <f t="array" aca="1" ref="I22" ca="1">INDIRECT("'"&amp;$B$3&amp;"'!"&amp;CHAR(64+COLUMN())&amp;(ROW()-4))</f>
        <v>25.07</v>
      </c>
      <c r="J22" s="43">
        <f t="array" aca="1" ref="J22" ca="1">INDIRECT("'"&amp;$B$3&amp;"'!"&amp;CHAR(64+COLUMN())&amp;(ROW()-4))</f>
        <v>24.3125</v>
      </c>
      <c r="K22" s="43">
        <f t="array" aca="1" ref="K22" ca="1">INDIRECT("'"&amp;$B$3&amp;"'!"&amp;CHAR(64+COLUMN())&amp;(ROW()-4))</f>
        <v>30.825590764430171</v>
      </c>
      <c r="L22" s="43">
        <f t="array" aca="1" ref="L22" ca="1">INDIRECT("'"&amp;$B$3&amp;"'!"&amp;CHAR(64+COLUMN())&amp;(ROW()-4))</f>
        <v>42.62273183573636</v>
      </c>
      <c r="M22" s="43">
        <f t="array" aca="1" ref="M22" ca="1">INDIRECT("'"&amp;$B$3&amp;"'!"&amp;CHAR(64+COLUMN())&amp;(ROW()-4))</f>
        <v>42.009130326419317</v>
      </c>
      <c r="N22" s="43">
        <f t="array" aca="1" ref="N22" ca="1">INDIRECT("'"&amp;$B$3&amp;"'!"&amp;CHAR(64+COLUMN())&amp;(ROW()-4))</f>
        <v>64.604411073501069</v>
      </c>
      <c r="O22" s="43">
        <f t="array" aca="1" ref="O22" ca="1">INDIRECT("'"&amp;$B$3&amp;"'!"&amp;CHAR(64+COLUMN())&amp;(ROW()-4))</f>
        <v>1.8793060462523579E-2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24.2</v>
      </c>
      <c r="T22" s="55">
        <f ca="1">IF(OR(AND(LEFT($S$15,1)="🔴",RIGHT($S$15,2)="出場"),AND($S$15="🔴 觀望",$S$12="🔴")),ROUND(MAX(H25,E25*(1+N32*1.2)),1),"—")</f>
        <v>24.4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24.25</v>
      </c>
      <c r="D23" s="43">
        <f t="array" aca="1" ref="D23" ca="1">INDIRECT("'"&amp;$B$3&amp;"'!"&amp;CHAR(64+COLUMN())&amp;(ROW()-4))</f>
        <v>23.8</v>
      </c>
      <c r="E23" s="43">
        <f t="array" aca="1" ref="E23" ca="1">INDIRECT("'"&amp;$B$3&amp;"'!"&amp;CHAR(64+COLUMN())&amp;(ROW()-4))</f>
        <v>24.2</v>
      </c>
      <c r="F23" s="43">
        <f t="array" aca="1" ref="F23" ca="1">INDIRECT("'"&amp;$B$3&amp;"'!"&amp;CHAR(64+COLUMN())&amp;(ROW()-4))</f>
        <v>2162</v>
      </c>
      <c r="G23" s="43">
        <f t="array" aca="1" ref="G23" ca="1">INDIRECT("'"&amp;$B$3&amp;"'!"&amp;CHAR(64+COLUMN())&amp;(ROW()-4))</f>
        <v>1.0438413361169101</v>
      </c>
      <c r="H23" s="43">
        <f t="array" aca="1" ref="H23" ca="1">INDIRECT("'"&amp;$B$3&amp;"'!"&amp;CHAR(64+COLUMN())&amp;(ROW()-4))</f>
        <v>24.76</v>
      </c>
      <c r="I23" s="43">
        <f t="array" aca="1" ref="I23" ca="1">INDIRECT("'"&amp;$B$3&amp;"'!"&amp;CHAR(64+COLUMN())&amp;(ROW()-4))</f>
        <v>25.07</v>
      </c>
      <c r="J23" s="43">
        <f t="array" aca="1" ref="J23" ca="1">INDIRECT("'"&amp;$B$3&amp;"'!"&amp;CHAR(64+COLUMN())&amp;(ROW()-4))</f>
        <v>24.34</v>
      </c>
      <c r="K23" s="43">
        <f t="array" aca="1" ref="K23" ca="1">INDIRECT("'"&amp;$B$3&amp;"'!"&amp;CHAR(64+COLUMN())&amp;(ROW()-4))</f>
        <v>37.971056971632507</v>
      </c>
      <c r="L23" s="43">
        <f t="array" aca="1" ref="L23" ca="1">INDIRECT("'"&amp;$B$3&amp;"'!"&amp;CHAR(64+COLUMN())&amp;(ROW()-4))</f>
        <v>45.844417926675433</v>
      </c>
      <c r="M23" s="43">
        <f t="array" aca="1" ref="M23" ca="1">INDIRECT("'"&amp;$B$3&amp;"'!"&amp;CHAR(64+COLUMN())&amp;(ROW()-4))</f>
        <v>33.561642439835083</v>
      </c>
      <c r="N23" s="43">
        <f t="array" aca="1" ref="N23" ca="1">INDIRECT("'"&amp;$B$3&amp;"'!"&amp;CHAR(64+COLUMN())&amp;(ROW()-4))</f>
        <v>54.256821528945743</v>
      </c>
      <c r="O23" s="43">
        <f t="array" aca="1" ref="O23" ca="1">INDIRECT("'"&amp;$B$3&amp;"'!"&amp;CHAR(64+COLUMN())&amp;(ROW()-4))</f>
        <v>-3.3399788534294511E-2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24.5</v>
      </c>
      <c r="T23" s="59">
        <f ca="1">IF(OR(AND(LEFT($S$15,1)="🔴",RIGHT($S$15,2)="出場"),AND($S$15="🔴 觀望",$S$12="🔴")),ROUND(MAX(I25,E25*(1+N32*1.8)),1),"—")</f>
        <v>24.9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24.4</v>
      </c>
      <c r="D24" s="43">
        <f t="array" aca="1" ref="D24" ca="1">INDIRECT("'"&amp;$B$3&amp;"'!"&amp;CHAR(64+COLUMN())&amp;(ROW()-4))</f>
        <v>23.8</v>
      </c>
      <c r="E24" s="43">
        <f t="array" aca="1" ref="E24" ca="1">INDIRECT("'"&amp;$B$3&amp;"'!"&amp;CHAR(64+COLUMN())&amp;(ROW()-4))</f>
        <v>24.35</v>
      </c>
      <c r="F24" s="43">
        <f t="array" aca="1" ref="F24" ca="1">INDIRECT("'"&amp;$B$3&amp;"'!"&amp;CHAR(64+COLUMN())&amp;(ROW()-4))</f>
        <v>2666</v>
      </c>
      <c r="G24" s="43">
        <f t="array" aca="1" ref="G24" ca="1">INDIRECT("'"&amp;$B$3&amp;"'!"&amp;CHAR(64+COLUMN())&amp;(ROW()-4))</f>
        <v>0.61983471074381047</v>
      </c>
      <c r="H24" s="43">
        <f t="array" aca="1" ref="H24" ca="1">INDIRECT("'"&amp;$B$3&amp;"'!"&amp;CHAR(64+COLUMN())&amp;(ROW()-4))</f>
        <v>24.43</v>
      </c>
      <c r="I24" s="43">
        <f t="array" aca="1" ref="I24" ca="1">INDIRECT("'"&amp;$B$3&amp;"'!"&amp;CHAR(64+COLUMN())&amp;(ROW()-4))</f>
        <v>25.035</v>
      </c>
      <c r="J24" s="43">
        <f t="array" aca="1" ref="J24" ca="1">INDIRECT("'"&amp;$B$3&amp;"'!"&amp;CHAR(64+COLUMN())&amp;(ROW()-4))</f>
        <v>24.4025</v>
      </c>
      <c r="K24" s="43">
        <f t="array" aca="1" ref="K24" ca="1">INDIRECT("'"&amp;$B$3&amp;"'!"&amp;CHAR(64+COLUMN())&amp;(ROW()-4))</f>
        <v>42.265004596149844</v>
      </c>
      <c r="L24" s="43">
        <f t="array" aca="1" ref="L24" ca="1">INDIRECT("'"&amp;$B$3&amp;"'!"&amp;CHAR(64+COLUMN())&amp;(ROW()-4))</f>
        <v>47.764197803924162</v>
      </c>
      <c r="M24" s="43">
        <f t="array" aca="1" ref="M24" ca="1">INDIRECT("'"&amp;$B$3&amp;"'!"&amp;CHAR(64+COLUMN())&amp;(ROW()-4))</f>
        <v>30.013317182112289</v>
      </c>
      <c r="N24" s="43">
        <f t="array" aca="1" ref="N24" ca="1">INDIRECT("'"&amp;$B$3&amp;"'!"&amp;CHAR(64+COLUMN())&amp;(ROW()-4))</f>
        <v>46.175653413334587</v>
      </c>
      <c r="O24" s="43">
        <f t="array" aca="1" ref="O24" ca="1">INDIRECT("'"&amp;$B$3&amp;"'!"&amp;CHAR(64+COLUMN())&amp;(ROW()-4))</f>
        <v>-5.6486987930200572E-2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24.9</v>
      </c>
      <c r="T24" s="61">
        <f ca="1">IF(OR(AND(LEFT($S$15,1)="🔴",RIGHT($S$15,2)="出場"),AND($S$15="🔴 觀望",$S$12="🔴")),ROUND(E25*(1+N32*2.4),1),"—")</f>
        <v>24.9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24.45</v>
      </c>
      <c r="D25" s="43">
        <f t="array" aca="1" ref="D25" ca="1">INDIRECT("'"&amp;$B$3&amp;"'!"&amp;CHAR(64+COLUMN())&amp;(ROW()-4))</f>
        <v>23.9</v>
      </c>
      <c r="E25" s="43">
        <f t="array" aca="1" ref="E25" ca="1">INDIRECT("'"&amp;$B$3&amp;"'!"&amp;CHAR(64+COLUMN())&amp;(ROW()-4))</f>
        <v>23.9</v>
      </c>
      <c r="F25" s="43">
        <f t="array" aca="1" ref="F25" ca="1">INDIRECT("'"&amp;$B$3&amp;"'!"&amp;CHAR(64+COLUMN())&amp;(ROW()-4))</f>
        <v>2651</v>
      </c>
      <c r="G25" s="43">
        <f t="array" aca="1" ref="G25" ca="1">INDIRECT("'"&amp;$B$3&amp;"'!"&amp;CHAR(64+COLUMN())&amp;(ROW()-4))</f>
        <v>-1.84804928131418</v>
      </c>
      <c r="H25" s="43">
        <f t="array" aca="1" ref="H25" ca="1">INDIRECT("'"&amp;$B$3&amp;"'!"&amp;CHAR(64+COLUMN())&amp;(ROW()-4))</f>
        <v>24.2</v>
      </c>
      <c r="I25" s="43">
        <f t="array" aca="1" ref="I25" ca="1">INDIRECT("'"&amp;$B$3&amp;"'!"&amp;CHAR(64+COLUMN())&amp;(ROW()-4))</f>
        <v>24.9</v>
      </c>
      <c r="J25" s="43">
        <f t="array" aca="1" ref="J25" ca="1">INDIRECT("'"&amp;$B$3&amp;"'!"&amp;CHAR(64+COLUMN())&amp;(ROW()-4))</f>
        <v>24.46</v>
      </c>
      <c r="K25" s="43">
        <f t="array" aca="1" ref="K25" ca="1">INDIRECT("'"&amp;$B$3&amp;"'!"&amp;CHAR(64+COLUMN())&amp;(ROW()-4))</f>
        <v>33.833395740179938</v>
      </c>
      <c r="L25" s="43">
        <f t="array" aca="1" ref="L25" ca="1">INDIRECT("'"&amp;$B$3&amp;"'!"&amp;CHAR(64+COLUMN())&amp;(ROW()-4))</f>
        <v>42.798845411895293</v>
      </c>
      <c r="M25" s="43">
        <f t="array" aca="1" ref="M25" ca="1">INDIRECT("'"&amp;$B$3&amp;"'!"&amp;CHAR(64+COLUMN())&amp;(ROW()-4))</f>
        <v>21.397767010297059</v>
      </c>
      <c r="N25" s="43">
        <f t="array" aca="1" ref="N25" ca="1">INDIRECT("'"&amp;$B$3&amp;"'!"&amp;CHAR(64+COLUMN())&amp;(ROW()-4))</f>
        <v>37.916357945655413</v>
      </c>
      <c r="O25" s="43">
        <f t="array" aca="1" ref="O25" ca="1">INDIRECT("'"&amp;$B$3&amp;"'!"&amp;CHAR(64+COLUMN())&amp;(ROW()-4))</f>
        <v>-9.8282913903222829E-2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23.9、σ=1.76%）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23.5</v>
      </c>
      <c r="S27" s="69">
        <f ca="1">ROUND((E25*(1-N32)-E25)/E25,4)</f>
        <v>-1.7600000000000001E-2</v>
      </c>
      <c r="T27" s="70" t="str">
        <f ca="1">"再跌 "&amp;TEXT(ABS((E25*(1-N32)-E25)/E25),"0.0%")&amp;" 至 "&amp;TEXT(E25*(1-N32),"0.0")&amp;" 進入積極買進區"</f>
        <v>再跌 1.8% 至 23.5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26.2</v>
      </c>
      <c r="Q28" s="71" t="s">
        <v>129</v>
      </c>
      <c r="R28" s="72">
        <f ca="1">ROUND(MAX(H25,E25*(1+N32)),1)</f>
        <v>24.3</v>
      </c>
      <c r="S28" s="73">
        <f ca="1">ROUND((MAX(H25,E25*(1+N32))-E25)/E25,4)</f>
        <v>1.7600000000000001E-2</v>
      </c>
      <c r="T28" s="74" t="str">
        <f ca="1">"再漲 "&amp;TEXT(ABS((MAX(H25,E25*(1+N32))-E25)/E25),"0.0%")&amp;" 至 "&amp;TEXT(MAX(H25,E25*(1+N32)),"0.0")&amp;" 進入反彈賣出區"</f>
        <v>再漲 1.8% 至 24.3 進入反彈賣出區</v>
      </c>
    </row>
    <row r="29" spans="1:20" x14ac:dyDescent="0.2">
      <c r="A29" s="1" t="s">
        <v>130</v>
      </c>
      <c r="B29" s="8">
        <v>0.25</v>
      </c>
      <c r="C29" s="8">
        <v>0.18</v>
      </c>
      <c r="D29" s="8">
        <v>0.15</v>
      </c>
      <c r="E29" s="8">
        <v>0.05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22.9</v>
      </c>
    </row>
    <row r="30" spans="1:20" ht="16" customHeight="1" x14ac:dyDescent="0.2">
      <c r="A30" s="1" t="s">
        <v>132</v>
      </c>
      <c r="B30" s="107">
        <v>0.63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24.459999999999997</v>
      </c>
    </row>
    <row r="31" spans="1:20" x14ac:dyDescent="0.2">
      <c r="A31" s="9" t="s">
        <v>134</v>
      </c>
      <c r="B31" t="s">
        <v>95</v>
      </c>
      <c r="C31" s="10">
        <v>-0.28000000000000003</v>
      </c>
      <c r="D31" s="10">
        <v>-0.16666666666666671</v>
      </c>
      <c r="E31" s="10">
        <v>-0.66666666666666663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2.5751072961373297E-2</v>
      </c>
    </row>
    <row r="32" spans="1:20" x14ac:dyDescent="0.2">
      <c r="A32" s="110" t="s">
        <v>174</v>
      </c>
      <c r="B32" s="106"/>
      <c r="C32" s="106"/>
      <c r="D32" s="106"/>
      <c r="E32" s="106"/>
      <c r="M32" s="1" t="s">
        <v>137</v>
      </c>
      <c r="N32" s="23">
        <f ca="1">STDEV(G7:G25)/100</f>
        <v>1.7598472185149833E-2</v>
      </c>
    </row>
    <row r="33" spans="1:14" ht="17" customHeight="1" x14ac:dyDescent="0.2">
      <c r="A33" s="108" t="s">
        <v>175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23.9</v>
      </c>
    </row>
    <row r="34" spans="1:14" x14ac:dyDescent="0.2">
      <c r="A34" t="s">
        <v>141</v>
      </c>
      <c r="B34" s="26">
        <v>1.1100000000000001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18.04</v>
      </c>
      <c r="G35" t="s">
        <v>146</v>
      </c>
      <c r="H35" s="27">
        <f>B36*B30</f>
        <v>5.04</v>
      </c>
      <c r="I35" s="27">
        <f>C36*B30</f>
        <v>8.82</v>
      </c>
      <c r="J35" s="27">
        <f>D36*B30</f>
        <v>12.6</v>
      </c>
    </row>
    <row r="36" spans="1:14" ht="17" customHeight="1" x14ac:dyDescent="0.2">
      <c r="A36" t="s">
        <v>147</v>
      </c>
      <c r="B36" s="26">
        <v>8</v>
      </c>
      <c r="C36" s="26">
        <v>14</v>
      </c>
      <c r="D36" s="26">
        <v>20</v>
      </c>
      <c r="G36" t="s">
        <v>148</v>
      </c>
      <c r="H36" s="27">
        <f>B37*B35</f>
        <v>18.04</v>
      </c>
      <c r="I36" s="27">
        <f>C37*B35</f>
        <v>32.472000000000001</v>
      </c>
      <c r="J36" s="27">
        <f>D37*B35</f>
        <v>54.12</v>
      </c>
    </row>
    <row r="37" spans="1:14" ht="17" customHeight="1" x14ac:dyDescent="0.2">
      <c r="A37" t="s">
        <v>149</v>
      </c>
      <c r="B37" s="26">
        <v>1</v>
      </c>
      <c r="C37" s="26">
        <v>1.8</v>
      </c>
      <c r="D37" s="26">
        <v>3</v>
      </c>
      <c r="G37" t="s">
        <v>150</v>
      </c>
      <c r="H37" s="27">
        <f>B34/B38</f>
        <v>18.500000000000004</v>
      </c>
      <c r="I37" s="27">
        <f>B34/C38</f>
        <v>24.666666666666671</v>
      </c>
      <c r="J37" s="27">
        <f>B34/D38</f>
        <v>37.000000000000007</v>
      </c>
    </row>
    <row r="38" spans="1:14" ht="17" customHeight="1" x14ac:dyDescent="0.25">
      <c r="A38" s="40" t="s">
        <v>151</v>
      </c>
      <c r="B38" s="37">
        <v>0.06</v>
      </c>
      <c r="C38" s="37">
        <v>4.4999999999999998E-2</v>
      </c>
      <c r="D38" s="37">
        <v>0.03</v>
      </c>
      <c r="G38" s="29" t="s">
        <v>152</v>
      </c>
      <c r="H38" s="38">
        <f>AVERAGE(H35,H36,H37)</f>
        <v>13.86</v>
      </c>
      <c r="I38" s="38">
        <f>AVERAGE(I35,I36,I37)</f>
        <v>21.986222222222224</v>
      </c>
      <c r="J38" s="39">
        <f>AVERAGE(J35,J36,J37)</f>
        <v>34.573333333333331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1" priority="1" operator="lessThan">
      <formula>0</formula>
    </cfRule>
  </conditionalFormatting>
  <conditionalFormatting sqref="O6:O25">
    <cfRule type="cellIs" dxfId="10" priority="2" operator="lessThan">
      <formula>0</formula>
    </cfRule>
  </conditionalFormatting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39"/>
  <sheetViews>
    <sheetView workbookViewId="0">
      <pane ySplit="5" topLeftCell="A23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3.83203125" bestFit="1" customWidth="1"/>
    <col min="3" max="5" width="7.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83203125" bestFit="1" customWidth="1"/>
    <col min="15" max="15" width="10.5" bestFit="1" customWidth="1"/>
    <col min="16" max="16" width="9.1640625" customWidth="1"/>
    <col min="17" max="17" width="12" bestFit="1" customWidth="1"/>
    <col min="18" max="18" width="40.83203125" bestFit="1" customWidth="1"/>
    <col min="19" max="19" width="10.33203125" bestFit="1" customWidth="1"/>
    <col min="20" max="20" width="45.1640625" bestFit="1" customWidth="1"/>
  </cols>
  <sheetData>
    <row r="1" spans="1:20" ht="19" customHeight="1" x14ac:dyDescent="0.25">
      <c r="A1" s="105" t="s">
        <v>176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177</v>
      </c>
    </row>
    <row r="3" spans="1:20" x14ac:dyDescent="0.2">
      <c r="A3" s="1" t="s">
        <v>2</v>
      </c>
      <c r="B3" s="2">
        <v>2376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233.5</v>
      </c>
      <c r="D6" s="43">
        <f t="array" aca="1" ref="D6" ca="1">INDIRECT("'"&amp;$B$3&amp;"'!"&amp;CHAR(64+COLUMN())&amp;(ROW()-4))</f>
        <v>227.5</v>
      </c>
      <c r="E6" s="43">
        <f t="array" aca="1" ref="E6" ca="1">INDIRECT("'"&amp;$B$3&amp;"'!"&amp;CHAR(64+COLUMN())&amp;(ROW()-4))</f>
        <v>232</v>
      </c>
      <c r="F6" s="43">
        <f t="array" aca="1" ref="F6" ca="1">INDIRECT("'"&amp;$B$3&amp;"'!"&amp;CHAR(64+COLUMN())&amp;(ROW()-4))</f>
        <v>2953</v>
      </c>
      <c r="G6" s="43">
        <f t="array" aca="1" ref="G6" ca="1">INDIRECT("'"&amp;$B$3&amp;"'!"&amp;CHAR(64+COLUMN())&amp;(ROW()-4))</f>
        <v>4.2696629213483144</v>
      </c>
      <c r="H6" s="43">
        <f t="array" aca="1" ref="H6" ca="1">INDIRECT("'"&amp;$B$3&amp;"'!"&amp;CHAR(64+COLUMN())&amp;(ROW()-4))</f>
        <v>230.2</v>
      </c>
      <c r="I6" s="43">
        <f t="array" aca="1" ref="I6" ca="1">INDIRECT("'"&amp;$B$3&amp;"'!"&amp;CHAR(64+COLUMN())&amp;(ROW()-4))</f>
        <v>234.85</v>
      </c>
      <c r="J6" s="43">
        <f t="array" aca="1" ref="J6" ca="1">INDIRECT("'"&amp;$B$3&amp;"'!"&amp;CHAR(64+COLUMN())&amp;(ROW()-4))</f>
        <v>232.42500000000001</v>
      </c>
      <c r="K6" s="43">
        <f t="array" aca="1" ref="K6" ca="1">INDIRECT("'"&amp;$B$3&amp;"'!"&amp;CHAR(64+COLUMN())&amp;(ROW()-4))</f>
        <v>49.033906835749903</v>
      </c>
      <c r="L6" s="43">
        <f t="array" aca="1" ref="L6" ca="1">INDIRECT("'"&amp;$B$3&amp;"'!"&amp;CHAR(64+COLUMN())&amp;(ROW()-4))</f>
        <v>49.095604567542651</v>
      </c>
      <c r="M6" s="43">
        <f t="array" aca="1" ref="M6" ca="1">INDIRECT("'"&amp;$B$3&amp;"'!"&amp;CHAR(64+COLUMN())&amp;(ROW()-4))</f>
        <v>22.02617867896392</v>
      </c>
      <c r="N6" s="43">
        <f t="array" aca="1" ref="N6" ca="1">INDIRECT("'"&amp;$B$3&amp;"'!"&amp;CHAR(64+COLUMN())&amp;(ROW()-4))</f>
        <v>27.766843583821721</v>
      </c>
      <c r="O6" s="43">
        <f t="array" aca="1" ref="O6" ca="1">INDIRECT("'"&amp;$B$3&amp;"'!"&amp;CHAR(64+COLUMN())&amp;(ROW()-4))</f>
        <v>-0.98618357227706877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233.5</v>
      </c>
      <c r="D7" s="43">
        <f t="array" aca="1" ref="D7" ca="1">INDIRECT("'"&amp;$B$3&amp;"'!"&amp;CHAR(64+COLUMN())&amp;(ROW()-4))</f>
        <v>227</v>
      </c>
      <c r="E7" s="43">
        <f t="array" aca="1" ref="E7" ca="1">INDIRECT("'"&amp;$B$3&amp;"'!"&amp;CHAR(64+COLUMN())&amp;(ROW()-4))</f>
        <v>228</v>
      </c>
      <c r="F7" s="43">
        <f t="array" aca="1" ref="F7" ca="1">INDIRECT("'"&amp;$B$3&amp;"'!"&amp;CHAR(64+COLUMN())&amp;(ROW()-4))</f>
        <v>3071</v>
      </c>
      <c r="G7" s="43">
        <f t="array" aca="1" ref="G7" ca="1">INDIRECT("'"&amp;$B$3&amp;"'!"&amp;CHAR(64+COLUMN())&amp;(ROW()-4))</f>
        <v>-1.7241379310344831</v>
      </c>
      <c r="H7" s="43">
        <f t="array" aca="1" ref="H7" ca="1">INDIRECT("'"&amp;$B$3&amp;"'!"&amp;CHAR(64+COLUMN())&amp;(ROW()-4))</f>
        <v>229.1</v>
      </c>
      <c r="I7" s="43">
        <f t="array" aca="1" ref="I7" ca="1">INDIRECT("'"&amp;$B$3&amp;"'!"&amp;CHAR(64+COLUMN())&amp;(ROW()-4))</f>
        <v>232.9</v>
      </c>
      <c r="J7" s="43">
        <f t="array" aca="1" ref="J7" ca="1">INDIRECT("'"&amp;$B$3&amp;"'!"&amp;CHAR(64+COLUMN())&amp;(ROW()-4))</f>
        <v>232.92500000000001</v>
      </c>
      <c r="K7" s="43">
        <f t="array" aca="1" ref="K7" ca="1">INDIRECT("'"&amp;$B$3&amp;"'!"&amp;CHAR(64+COLUMN())&amp;(ROW()-4))</f>
        <v>42.573704211601182</v>
      </c>
      <c r="L7" s="43">
        <f t="array" aca="1" ref="L7" ca="1">INDIRECT("'"&amp;$B$3&amp;"'!"&amp;CHAR(64+COLUMN())&amp;(ROW()-4))</f>
        <v>45.709137335124787</v>
      </c>
      <c r="M7" s="43">
        <f t="array" aca="1" ref="M7" ca="1">INDIRECT("'"&amp;$B$3&amp;"'!"&amp;CHAR(64+COLUMN())&amp;(ROW()-4))</f>
        <v>25.0015794367696</v>
      </c>
      <c r="N7" s="43">
        <f t="array" aca="1" ref="N7" ca="1">INDIRECT("'"&amp;$B$3&amp;"'!"&amp;CHAR(64+COLUMN())&amp;(ROW()-4))</f>
        <v>26.84508886813768</v>
      </c>
      <c r="O7" s="43">
        <f t="array" aca="1" ref="O7" ca="1">INDIRECT("'"&amp;$B$3&amp;"'!"&amp;CHAR(64+COLUMN())&amp;(ROW()-4))</f>
        <v>-1.0600125433565371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231</v>
      </c>
      <c r="D8" s="43">
        <f t="array" aca="1" ref="D8" ca="1">INDIRECT("'"&amp;$B$3&amp;"'!"&amp;CHAR(64+COLUMN())&amp;(ROW()-4))</f>
        <v>222</v>
      </c>
      <c r="E8" s="43">
        <f t="array" aca="1" ref="E8" ca="1">INDIRECT("'"&amp;$B$3&amp;"'!"&amp;CHAR(64+COLUMN())&amp;(ROW()-4))</f>
        <v>222.5</v>
      </c>
      <c r="F8" s="43">
        <f t="array" aca="1" ref="F8" ca="1">INDIRECT("'"&amp;$B$3&amp;"'!"&amp;CHAR(64+COLUMN())&amp;(ROW()-4))</f>
        <v>3680</v>
      </c>
      <c r="G8" s="43">
        <f t="array" aca="1" ref="G8" ca="1">INDIRECT("'"&amp;$B$3&amp;"'!"&amp;CHAR(64+COLUMN())&amp;(ROW()-4))</f>
        <v>-2.4122807017543861</v>
      </c>
      <c r="H8" s="43">
        <f t="array" aca="1" ref="H8" ca="1">INDIRECT("'"&amp;$B$3&amp;"'!"&amp;CHAR(64+COLUMN())&amp;(ROW()-4))</f>
        <v>226.6</v>
      </c>
      <c r="I8" s="43">
        <f t="array" aca="1" ref="I8" ca="1">INDIRECT("'"&amp;$B$3&amp;"'!"&amp;CHAR(64+COLUMN())&amp;(ROW()-4))</f>
        <v>230.3</v>
      </c>
      <c r="J8" s="43">
        <f t="array" aca="1" ref="J8" ca="1">INDIRECT("'"&amp;$B$3&amp;"'!"&amp;CHAR(64+COLUMN())&amp;(ROW()-4))</f>
        <v>233.1</v>
      </c>
      <c r="K8" s="43">
        <f t="array" aca="1" ref="K8" ca="1">INDIRECT("'"&amp;$B$3&amp;"'!"&amp;CHAR(64+COLUMN())&amp;(ROW()-4))</f>
        <v>34.971380431049639</v>
      </c>
      <c r="L8" s="43">
        <f t="array" aca="1" ref="L8" ca="1">INDIRECT("'"&amp;$B$3&amp;"'!"&amp;CHAR(64+COLUMN())&amp;(ROW()-4))</f>
        <v>41.423259444311263</v>
      </c>
      <c r="M8" s="43">
        <f t="array" aca="1" ref="M8" ca="1">INDIRECT("'"&amp;$B$3&amp;"'!"&amp;CHAR(64+COLUMN())&amp;(ROW()-4))</f>
        <v>18.33438629117973</v>
      </c>
      <c r="N8" s="43">
        <f t="array" aca="1" ref="N8" ca="1">INDIRECT("'"&amp;$B$3&amp;"'!"&amp;CHAR(64+COLUMN())&amp;(ROW()-4))</f>
        <v>24.008188009151691</v>
      </c>
      <c r="O8" s="43">
        <f t="array" aca="1" ref="O8" ca="1">INDIRECT("'"&amp;$B$3&amp;"'!"&amp;CHAR(64+COLUMN())&amp;(ROW()-4))</f>
        <v>-1.40446615172931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MA10=279.9  MA20=266.4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244.5</v>
      </c>
      <c r="D9" s="43">
        <f t="array" aca="1" ref="D9" ca="1">INDIRECT("'"&amp;$B$3&amp;"'!"&amp;CHAR(64+COLUMN())&amp;(ROW()-4))</f>
        <v>229</v>
      </c>
      <c r="E9" s="43">
        <f t="array" aca="1" ref="E9" ca="1">INDIRECT("'"&amp;$B$3&amp;"'!"&amp;CHAR(64+COLUMN())&amp;(ROW()-4))</f>
        <v>244.5</v>
      </c>
      <c r="F9" s="43">
        <f t="array" aca="1" ref="F9" ca="1">INDIRECT("'"&amp;$B$3&amp;"'!"&amp;CHAR(64+COLUMN())&amp;(ROW()-4))</f>
        <v>10714</v>
      </c>
      <c r="G9" s="43">
        <f t="array" aca="1" ref="G9" ca="1">INDIRECT("'"&amp;$B$3&amp;"'!"&amp;CHAR(64+COLUMN())&amp;(ROW()-4))</f>
        <v>9.8876404494382015</v>
      </c>
      <c r="H9" s="43">
        <f t="array" aca="1" ref="H9" ca="1">INDIRECT("'"&amp;$B$3&amp;"'!"&amp;CHAR(64+COLUMN())&amp;(ROW()-4))</f>
        <v>229.9</v>
      </c>
      <c r="I9" s="43">
        <f t="array" aca="1" ref="I9" ca="1">INDIRECT("'"&amp;$B$3&amp;"'!"&amp;CHAR(64+COLUMN())&amp;(ROW()-4))</f>
        <v>231.5</v>
      </c>
      <c r="J9" s="43">
        <f t="array" aca="1" ref="J9" ca="1">INDIRECT("'"&amp;$B$3&amp;"'!"&amp;CHAR(64+COLUMN())&amp;(ROW()-4))</f>
        <v>234.57499999999999</v>
      </c>
      <c r="K9" s="43">
        <f t="array" aca="1" ref="K9" ca="1">INDIRECT("'"&amp;$B$3&amp;"'!"&amp;CHAR(64+COLUMN())&amp;(ROW()-4))</f>
        <v>64.984327142244183</v>
      </c>
      <c r="L9" s="43">
        <f t="array" aca="1" ref="L9" ca="1">INDIRECT("'"&amp;$B$3&amp;"'!"&amp;CHAR(64+COLUMN())&amp;(ROW()-4))</f>
        <v>58.431229984254479</v>
      </c>
      <c r="M9" s="43">
        <f t="array" aca="1" ref="M9" ca="1">INDIRECT("'"&amp;$B$3&amp;"'!"&amp;CHAR(64+COLUMN())&amp;(ROW()-4))</f>
        <v>45.556257527453148</v>
      </c>
      <c r="N9" s="43">
        <f t="array" aca="1" ref="N9" ca="1">INDIRECT("'"&amp;$B$3&amp;"'!"&amp;CHAR(64+COLUMN())&amp;(ROW()-4))</f>
        <v>31.190877848585512</v>
      </c>
      <c r="O9" s="43">
        <f t="array" aca="1" ref="O9" ca="1">INDIRECT("'"&amp;$B$3&amp;"'!"&amp;CHAR(64+COLUMN())&amp;(ROW()-4))</f>
        <v>-0.14229839511374481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KD金叉:✗(K=32)  RSI6:46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256</v>
      </c>
      <c r="D10" s="43">
        <f t="array" aca="1" ref="D10" ca="1">INDIRECT("'"&amp;$B$3&amp;"'!"&amp;CHAR(64+COLUMN())&amp;(ROW()-4))</f>
        <v>247</v>
      </c>
      <c r="E10" s="43">
        <f t="array" aca="1" ref="E10" ca="1">INDIRECT("'"&amp;$B$3&amp;"'!"&amp;CHAR(64+COLUMN())&amp;(ROW()-4))</f>
        <v>251</v>
      </c>
      <c r="F10" s="43">
        <f t="array" aca="1" ref="F10" ca="1">INDIRECT("'"&amp;$B$3&amp;"'!"&amp;CHAR(64+COLUMN())&amp;(ROW()-4))</f>
        <v>11984</v>
      </c>
      <c r="G10" s="43">
        <f t="array" aca="1" ref="G10" ca="1">INDIRECT("'"&amp;$B$3&amp;"'!"&amp;CHAR(64+COLUMN())&amp;(ROW()-4))</f>
        <v>2.6584867075664622</v>
      </c>
      <c r="H10" s="43">
        <f t="array" aca="1" ref="H10" ca="1">INDIRECT("'"&amp;$B$3&amp;"'!"&amp;CHAR(64+COLUMN())&amp;(ROW()-4))</f>
        <v>235.6</v>
      </c>
      <c r="I10" s="43">
        <f t="array" aca="1" ref="I10" ca="1">INDIRECT("'"&amp;$B$3&amp;"'!"&amp;CHAR(64+COLUMN())&amp;(ROW()-4))</f>
        <v>233.1</v>
      </c>
      <c r="J10" s="43">
        <f t="array" aca="1" ref="J10" ca="1">INDIRECT("'"&amp;$B$3&amp;"'!"&amp;CHAR(64+COLUMN())&amp;(ROW()-4))</f>
        <v>236.07499999999999</v>
      </c>
      <c r="K10" s="43">
        <f t="array" aca="1" ref="K10" ca="1">INDIRECT("'"&amp;$B$3&amp;"'!"&amp;CHAR(64+COLUMN())&amp;(ROW()-4))</f>
        <v>69.908369152640475</v>
      </c>
      <c r="L10" s="43">
        <f t="array" aca="1" ref="L10" ca="1">INDIRECT("'"&amp;$B$3&amp;"'!"&amp;CHAR(64+COLUMN())&amp;(ROW()-4))</f>
        <v>61.98853524615167</v>
      </c>
      <c r="M10" s="43">
        <f t="array" aca="1" ref="M10" ca="1">INDIRECT("'"&amp;$B$3&amp;"'!"&amp;CHAR(64+COLUMN())&amp;(ROW()-4))</f>
        <v>58.873253810572628</v>
      </c>
      <c r="N10" s="43">
        <f t="array" aca="1" ref="N10" ca="1">INDIRECT("'"&amp;$B$3&amp;"'!"&amp;CHAR(64+COLUMN())&amp;(ROW()-4))</f>
        <v>40.418336502581212</v>
      </c>
      <c r="O10" s="43">
        <f t="array" aca="1" ref="O10" ca="1">INDIRECT("'"&amp;$B$3&amp;"'!"&amp;CHAR(64+COLUMN())&amp;(ROW()-4))</f>
        <v>1.0718541258659431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今量=5,636  5日均=7,018  比值=0.80x  ⚠價漲量縮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265.5</v>
      </c>
      <c r="D11" s="43">
        <f t="array" aca="1" ref="D11" ca="1">INDIRECT("'"&amp;$B$3&amp;"'!"&amp;CHAR(64+COLUMN())&amp;(ROW()-4))</f>
        <v>251.5</v>
      </c>
      <c r="E11" s="43">
        <f t="array" aca="1" ref="E11" ca="1">INDIRECT("'"&amp;$B$3&amp;"'!"&amp;CHAR(64+COLUMN())&amp;(ROW()-4))</f>
        <v>262.5</v>
      </c>
      <c r="F11" s="43">
        <f t="array" aca="1" ref="F11" ca="1">INDIRECT("'"&amp;$B$3&amp;"'!"&amp;CHAR(64+COLUMN())&amp;(ROW()-4))</f>
        <v>16450</v>
      </c>
      <c r="G11" s="43">
        <f t="array" aca="1" ref="G11" ca="1">INDIRECT("'"&amp;$B$3&amp;"'!"&amp;CHAR(64+COLUMN())&amp;(ROW()-4))</f>
        <v>4.5816733067729087</v>
      </c>
      <c r="H11" s="43">
        <f t="array" aca="1" ref="H11" ca="1">INDIRECT("'"&amp;$B$3&amp;"'!"&amp;CHAR(64+COLUMN())&amp;(ROW()-4))</f>
        <v>241.7</v>
      </c>
      <c r="I11" s="43">
        <f t="array" aca="1" ref="I11" ca="1">INDIRECT("'"&amp;$B$3&amp;"'!"&amp;CHAR(64+COLUMN())&amp;(ROW()-4))</f>
        <v>235.95</v>
      </c>
      <c r="J11" s="43">
        <f t="array" aca="1" ref="J11" ca="1">INDIRECT("'"&amp;$B$3&amp;"'!"&amp;CHAR(64+COLUMN())&amp;(ROW()-4))</f>
        <v>237.6</v>
      </c>
      <c r="K11" s="43">
        <f t="array" aca="1" ref="K11" ca="1">INDIRECT("'"&amp;$B$3&amp;"'!"&amp;CHAR(64+COLUMN())&amp;(ROW()-4))</f>
        <v>76.826841817417076</v>
      </c>
      <c r="L11" s="43">
        <f t="array" aca="1" ref="L11" ca="1">INDIRECT("'"&amp;$B$3&amp;"'!"&amp;CHAR(64+COLUMN())&amp;(ROW()-4))</f>
        <v>67.376849375098374</v>
      </c>
      <c r="M11" s="43">
        <f t="array" aca="1" ref="M11" ca="1">INDIRECT("'"&amp;$B$3&amp;"'!"&amp;CHAR(64+COLUMN())&amp;(ROW()-4))</f>
        <v>70.309441934321143</v>
      </c>
      <c r="N11" s="43">
        <f t="array" aca="1" ref="N11" ca="1">INDIRECT("'"&amp;$B$3&amp;"'!"&amp;CHAR(64+COLUMN())&amp;(ROW()-4))</f>
        <v>50.382038313161189</v>
      </c>
      <c r="O11" s="43">
        <f t="array" aca="1" ref="O11" ca="1">INDIRECT("'"&amp;$B$3&amp;"'!"&amp;CHAR(64+COLUMN())&amp;(ROW()-4))</f>
        <v>2.508909092638739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MA10=279.9  中 -6%=256.6  鬆 MA20=266.4  (σ=3.3%)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268</v>
      </c>
      <c r="D12" s="43">
        <f t="array" aca="1" ref="D12" ca="1">INDIRECT("'"&amp;$B$3&amp;"'!"&amp;CHAR(64+COLUMN())&amp;(ROW()-4))</f>
        <v>259</v>
      </c>
      <c r="E12" s="43">
        <f t="array" aca="1" ref="E12" ca="1">INDIRECT("'"&amp;$B$3&amp;"'!"&amp;CHAR(64+COLUMN())&amp;(ROW()-4))</f>
        <v>264</v>
      </c>
      <c r="F12" s="43">
        <f t="array" aca="1" ref="F12" ca="1">INDIRECT("'"&amp;$B$3&amp;"'!"&amp;CHAR(64+COLUMN())&amp;(ROW()-4))</f>
        <v>9009</v>
      </c>
      <c r="G12" s="43">
        <f t="array" aca="1" ref="G12" ca="1">INDIRECT("'"&amp;$B$3&amp;"'!"&amp;CHAR(64+COLUMN())&amp;(ROW()-4))</f>
        <v>0.5714285714285714</v>
      </c>
      <c r="H12" s="43">
        <f t="array" aca="1" ref="H12" ca="1">INDIRECT("'"&amp;$B$3&amp;"'!"&amp;CHAR(64+COLUMN())&amp;(ROW()-4))</f>
        <v>248.9</v>
      </c>
      <c r="I12" s="43">
        <f t="array" aca="1" ref="I12" ca="1">INDIRECT("'"&amp;$B$3&amp;"'!"&amp;CHAR(64+COLUMN())&amp;(ROW()-4))</f>
        <v>239</v>
      </c>
      <c r="J12" s="43">
        <f t="array" aca="1" ref="J12" ca="1">INDIRECT("'"&amp;$B$3&amp;"'!"&amp;CHAR(64+COLUMN())&amp;(ROW()-4))</f>
        <v>239.4</v>
      </c>
      <c r="K12" s="43">
        <f t="array" aca="1" ref="K12" ca="1">INDIRECT("'"&amp;$B$3&amp;"'!"&amp;CHAR(64+COLUMN())&amp;(ROW()-4))</f>
        <v>77.631794429601811</v>
      </c>
      <c r="L12" s="43">
        <f t="array" aca="1" ref="L12" ca="1">INDIRECT("'"&amp;$B$3&amp;"'!"&amp;CHAR(64+COLUMN())&amp;(ROW()-4))</f>
        <v>68.021869625475105</v>
      </c>
      <c r="M12" s="43">
        <f t="array" aca="1" ref="M12" ca="1">INDIRECT("'"&amp;$B$3&amp;"'!"&amp;CHAR(64+COLUMN())&amp;(ROW()-4))</f>
        <v>77.338911110335957</v>
      </c>
      <c r="N12" s="43">
        <f t="array" aca="1" ref="N12" ca="1">INDIRECT("'"&amp;$B$3&amp;"'!"&amp;CHAR(64+COLUMN())&amp;(ROW()-4))</f>
        <v>59.367662578886112</v>
      </c>
      <c r="O12" s="43">
        <f t="array" aca="1" ref="O12" ca="1">INDIRECT("'"&amp;$B$3&amp;"'!"&amp;CHAR(64+COLUMN())&amp;(ROW()-4))</f>
        <v>3.3664472486188348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收盤=273.0  MA5=278.0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273.5</v>
      </c>
      <c r="D13" s="43">
        <f t="array" aca="1" ref="D13" ca="1">INDIRECT("'"&amp;$B$3&amp;"'!"&amp;CHAR(64+COLUMN())&amp;(ROW()-4))</f>
        <v>263.5</v>
      </c>
      <c r="E13" s="43">
        <f t="array" aca="1" ref="E13" ca="1">INDIRECT("'"&amp;$B$3&amp;"'!"&amp;CHAR(64+COLUMN())&amp;(ROW()-4))</f>
        <v>263.5</v>
      </c>
      <c r="F13" s="43">
        <f t="array" aca="1" ref="F13" ca="1">INDIRECT("'"&amp;$B$3&amp;"'!"&amp;CHAR(64+COLUMN())&amp;(ROW()-4))</f>
        <v>10232</v>
      </c>
      <c r="G13" s="43">
        <f t="array" aca="1" ref="G13" ca="1">INDIRECT("'"&amp;$B$3&amp;"'!"&amp;CHAR(64+COLUMN())&amp;(ROW()-4))</f>
        <v>-0.18939393939393939</v>
      </c>
      <c r="H13" s="43">
        <f t="array" aca="1" ref="H13" ca="1">INDIRECT("'"&amp;$B$3&amp;"'!"&amp;CHAR(64+COLUMN())&amp;(ROW()-4))</f>
        <v>257.10000000000002</v>
      </c>
      <c r="I13" s="43">
        <f t="array" aca="1" ref="I13" ca="1">INDIRECT("'"&amp;$B$3&amp;"'!"&amp;CHAR(64+COLUMN())&amp;(ROW()-4))</f>
        <v>241.85</v>
      </c>
      <c r="J13" s="43">
        <f t="array" aca="1" ref="J13" ca="1">INDIRECT("'"&amp;$B$3&amp;"'!"&amp;CHAR(64+COLUMN())&amp;(ROW()-4))</f>
        <v>240.92500000000001</v>
      </c>
      <c r="K13" s="43">
        <f t="array" aca="1" ref="K13" ca="1">INDIRECT("'"&amp;$B$3&amp;"'!"&amp;CHAR(64+COLUMN())&amp;(ROW()-4))</f>
        <v>76.567916235738309</v>
      </c>
      <c r="L13" s="43">
        <f t="array" aca="1" ref="L13" ca="1">INDIRECT("'"&amp;$B$3&amp;"'!"&amp;CHAR(64+COLUMN())&amp;(ROW()-4))</f>
        <v>67.536299437785615</v>
      </c>
      <c r="M13" s="43">
        <f t="array" aca="1" ref="M13" ca="1">INDIRECT("'"&amp;$B$3&amp;"'!"&amp;CHAR(64+COLUMN())&amp;(ROW()-4))</f>
        <v>78.482350996634224</v>
      </c>
      <c r="N13" s="43">
        <f t="array" aca="1" ref="N13" ca="1">INDIRECT("'"&amp;$B$3&amp;"'!"&amp;CHAR(64+COLUMN())&amp;(ROW()-4))</f>
        <v>65.739225384802154</v>
      </c>
      <c r="O13" s="43">
        <f t="array" aca="1" ref="O13" ca="1">INDIRECT("'"&amp;$B$3&amp;"'!"&amp;CHAR(64+COLUMN())&amp;(ROW()-4))</f>
        <v>3.6804937856720881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MA5翻下:✓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284</v>
      </c>
      <c r="D14" s="43">
        <f t="array" aca="1" ref="D14" ca="1">INDIRECT("'"&amp;$B$3&amp;"'!"&amp;CHAR(64+COLUMN())&amp;(ROW()-4))</f>
        <v>268</v>
      </c>
      <c r="E14" s="43">
        <f t="array" aca="1" ref="E14" ca="1">INDIRECT("'"&amp;$B$3&amp;"'!"&amp;CHAR(64+COLUMN())&amp;(ROW()-4))</f>
        <v>279</v>
      </c>
      <c r="F14" s="43">
        <f t="array" aca="1" ref="F14" ca="1">INDIRECT("'"&amp;$B$3&amp;"'!"&amp;CHAR(64+COLUMN())&amp;(ROW()-4))</f>
        <v>25948</v>
      </c>
      <c r="G14" s="43">
        <f t="array" aca="1" ref="G14" ca="1">INDIRECT("'"&amp;$B$3&amp;"'!"&amp;CHAR(64+COLUMN())&amp;(ROW()-4))</f>
        <v>5.8823529411764701</v>
      </c>
      <c r="H14" s="43">
        <f t="array" aca="1" ref="H14" ca="1">INDIRECT("'"&amp;$B$3&amp;"'!"&amp;CHAR(64+COLUMN())&amp;(ROW()-4))</f>
        <v>264</v>
      </c>
      <c r="I14" s="43">
        <f t="array" aca="1" ref="I14" ca="1">INDIRECT("'"&amp;$B$3&amp;"'!"&amp;CHAR(64+COLUMN())&amp;(ROW()-4))</f>
        <v>246.95</v>
      </c>
      <c r="J14" s="43">
        <f t="array" aca="1" ref="J14" ca="1">INDIRECT("'"&amp;$B$3&amp;"'!"&amp;CHAR(64+COLUMN())&amp;(ROW()-4))</f>
        <v>243.05</v>
      </c>
      <c r="K14" s="43">
        <f t="array" aca="1" ref="K14" ca="1">INDIRECT("'"&amp;$B$3&amp;"'!"&amp;CHAR(64+COLUMN())&amp;(ROW()-4))</f>
        <v>84.479952491843406</v>
      </c>
      <c r="L14" s="43">
        <f t="array" aca="1" ref="L14" ca="1">INDIRECT("'"&amp;$B$3&amp;"'!"&amp;CHAR(64+COLUMN())&amp;(ROW()-4))</f>
        <v>73.849313996761452</v>
      </c>
      <c r="M14" s="43">
        <f t="array" aca="1" ref="M14" ca="1">INDIRECT("'"&amp;$B$3&amp;"'!"&amp;CHAR(64+COLUMN())&amp;(ROW()-4))</f>
        <v>82.966728621412059</v>
      </c>
      <c r="N14" s="43">
        <f t="array" aca="1" ref="N14" ca="1">INDIRECT("'"&amp;$B$3&amp;"'!"&amp;CHAR(64+COLUMN())&amp;(ROW()-4))</f>
        <v>71.481726463672118</v>
      </c>
      <c r="O14" s="43">
        <f t="array" aca="1" ref="O14" ca="1">INDIRECT("'"&amp;$B$3&amp;"'!"&amp;CHAR(64+COLUMN())&amp;(ROW()-4))</f>
        <v>4.6501214980124503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286</v>
      </c>
      <c r="D15" s="43">
        <f t="array" aca="1" ref="D15" ca="1">INDIRECT("'"&amp;$B$3&amp;"'!"&amp;CHAR(64+COLUMN())&amp;(ROW()-4))</f>
        <v>275</v>
      </c>
      <c r="E15" s="43">
        <f t="array" aca="1" ref="E15" ca="1">INDIRECT("'"&amp;$B$3&amp;"'!"&amp;CHAR(64+COLUMN())&amp;(ROW()-4))</f>
        <v>281</v>
      </c>
      <c r="F15" s="43">
        <f t="array" aca="1" ref="F15" ca="1">INDIRECT("'"&amp;$B$3&amp;"'!"&amp;CHAR(64+COLUMN())&amp;(ROW()-4))</f>
        <v>15475</v>
      </c>
      <c r="G15" s="43">
        <f t="array" aca="1" ref="G15" ca="1">INDIRECT("'"&amp;$B$3&amp;"'!"&amp;CHAR(64+COLUMN())&amp;(ROW()-4))</f>
        <v>0.71684587813620071</v>
      </c>
      <c r="H15" s="43">
        <f t="array" aca="1" ref="H15" ca="1">INDIRECT("'"&amp;$B$3&amp;"'!"&amp;CHAR(64+COLUMN())&amp;(ROW()-4))</f>
        <v>270</v>
      </c>
      <c r="I15" s="43">
        <f t="array" aca="1" ref="I15" ca="1">INDIRECT("'"&amp;$B$3&amp;"'!"&amp;CHAR(64+COLUMN())&amp;(ROW()-4))</f>
        <v>252.8</v>
      </c>
      <c r="J15" s="43">
        <f t="array" aca="1" ref="J15" ca="1">INDIRECT("'"&amp;$B$3&amp;"'!"&amp;CHAR(64+COLUMN())&amp;(ROW()-4))</f>
        <v>244.7</v>
      </c>
      <c r="K15" s="43">
        <f t="array" aca="1" ref="K15" ca="1">INDIRECT("'"&amp;$B$3&amp;"'!"&amp;CHAR(64+COLUMN())&amp;(ROW()-4))</f>
        <v>85.251064687634241</v>
      </c>
      <c r="L15" s="43">
        <f t="array" aca="1" ref="L15" ca="1">INDIRECT("'"&amp;$B$3&amp;"'!"&amp;CHAR(64+COLUMN())&amp;(ROW()-4))</f>
        <v>74.546069612040199</v>
      </c>
      <c r="M15" s="43">
        <f t="array" aca="1" ref="M15" ca="1">INDIRECT("'"&amp;$B$3&amp;"'!"&amp;CHAR(64+COLUMN())&amp;(ROW()-4))</f>
        <v>86.040319080941373</v>
      </c>
      <c r="N15" s="43">
        <f t="array" aca="1" ref="N15" ca="1">INDIRECT("'"&amp;$B$3&amp;"'!"&amp;CHAR(64+COLUMN())&amp;(ROW()-4))</f>
        <v>76.334590669428536</v>
      </c>
      <c r="O15" s="43">
        <f t="array" aca="1" ref="O15" ca="1">INDIRECT("'"&amp;$B$3&amp;"'!"&amp;CHAR(64+COLUMN())&amp;(ROW()-4))</f>
        <v>5.1076882743348024</v>
      </c>
      <c r="Q15" s="49" t="s">
        <v>46</v>
      </c>
      <c r="R15" s="50" t="str">
        <f ca="1">"通過 "&amp;(COUNTIF(S7:S13,"🟢"))&amp;" / 7  警示 "&amp;COUNTIF(S7:S13,"🟡")&amp;"  危險 "&amp;COUNTIF(S7:S13,"🔴")</f>
        <v>通過 2 / 7  警示 1  危險 3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285.5</v>
      </c>
      <c r="D16" s="43">
        <f t="array" aca="1" ref="D16" ca="1">INDIRECT("'"&amp;$B$3&amp;"'!"&amp;CHAR(64+COLUMN())&amp;(ROW()-4))</f>
        <v>278</v>
      </c>
      <c r="E16" s="43">
        <f t="array" aca="1" ref="E16" ca="1">INDIRECT("'"&amp;$B$3&amp;"'!"&amp;CHAR(64+COLUMN())&amp;(ROW()-4))</f>
        <v>281.5</v>
      </c>
      <c r="F16" s="43">
        <f t="array" aca="1" ref="F16" ca="1">INDIRECT("'"&amp;$B$3&amp;"'!"&amp;CHAR(64+COLUMN())&amp;(ROW()-4))</f>
        <v>10874</v>
      </c>
      <c r="G16" s="43">
        <f t="array" aca="1" ref="G16" ca="1">INDIRECT("'"&amp;$B$3&amp;"'!"&amp;CHAR(64+COLUMN())&amp;(ROW()-4))</f>
        <v>0.1779359430604982</v>
      </c>
      <c r="H16" s="43">
        <f t="array" aca="1" ref="H16" ca="1">INDIRECT("'"&amp;$B$3&amp;"'!"&amp;CHAR(64+COLUMN())&amp;(ROW()-4))</f>
        <v>273.8</v>
      </c>
      <c r="I16" s="43">
        <f t="array" aca="1" ref="I16" ca="1">INDIRECT("'"&amp;$B$3&amp;"'!"&amp;CHAR(64+COLUMN())&amp;(ROW()-4))</f>
        <v>257.75</v>
      </c>
      <c r="J16" s="43">
        <f t="array" aca="1" ref="J16" ca="1">INDIRECT("'"&amp;$B$3&amp;"'!"&amp;CHAR(64+COLUMN())&amp;(ROW()-4))</f>
        <v>246.3</v>
      </c>
      <c r="K16" s="43">
        <f t="array" aca="1" ref="K16" ca="1">INDIRECT("'"&amp;$B$3&amp;"'!"&amp;CHAR(64+COLUMN())&amp;(ROW()-4))</f>
        <v>85.467675861736225</v>
      </c>
      <c r="L16" s="43">
        <f t="array" aca="1" ref="L16" ca="1">INDIRECT("'"&amp;$B$3&amp;"'!"&amp;CHAR(64+COLUMN())&amp;(ROW()-4))</f>
        <v>74.729696560789392</v>
      </c>
      <c r="M16" s="43">
        <f t="array" aca="1" ref="M16" ca="1">INDIRECT("'"&amp;$B$3&amp;"'!"&amp;CHAR(64+COLUMN())&amp;(ROW()-4))</f>
        <v>88.349796053960915</v>
      </c>
      <c r="N16" s="43">
        <f t="array" aca="1" ref="N16" ca="1">INDIRECT("'"&amp;$B$3&amp;"'!"&amp;CHAR(64+COLUMN())&amp;(ROW()-4))</f>
        <v>80.339659130939324</v>
      </c>
      <c r="O16" s="43">
        <f t="array" aca="1" ref="O16" ca="1">INDIRECT("'"&amp;$B$3&amp;"'!"&amp;CHAR(64+COLUMN())&amp;(ROW()-4))</f>
        <v>5.1129508192390603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283</v>
      </c>
      <c r="D17" s="43">
        <f t="array" aca="1" ref="D17" ca="1">INDIRECT("'"&amp;$B$3&amp;"'!"&amp;CHAR(64+COLUMN())&amp;(ROW()-4))</f>
        <v>276</v>
      </c>
      <c r="E17" s="43">
        <f t="array" aca="1" ref="E17" ca="1">INDIRECT("'"&amp;$B$3&amp;"'!"&amp;CHAR(64+COLUMN())&amp;(ROW()-4))</f>
        <v>279</v>
      </c>
      <c r="F17" s="43">
        <f t="array" aca="1" ref="F17" ca="1">INDIRECT("'"&amp;$B$3&amp;"'!"&amp;CHAR(64+COLUMN())&amp;(ROW()-4))</f>
        <v>8155</v>
      </c>
      <c r="G17" s="43">
        <f t="array" aca="1" ref="G17" ca="1">INDIRECT("'"&amp;$B$3&amp;"'!"&amp;CHAR(64+COLUMN())&amp;(ROW()-4))</f>
        <v>-0.88809946714031962</v>
      </c>
      <c r="H17" s="43">
        <f t="array" aca="1" ref="H17" ca="1">INDIRECT("'"&amp;$B$3&amp;"'!"&amp;CHAR(64+COLUMN())&amp;(ROW()-4))</f>
        <v>276.8</v>
      </c>
      <c r="I17" s="43">
        <f t="array" aca="1" ref="I17" ca="1">INDIRECT("'"&amp;$B$3&amp;"'!"&amp;CHAR(64+COLUMN())&amp;(ROW()-4))</f>
        <v>262.85000000000002</v>
      </c>
      <c r="J17" s="43">
        <f t="array" aca="1" ref="J17" ca="1">INDIRECT("'"&amp;$B$3&amp;"'!"&amp;CHAR(64+COLUMN())&amp;(ROW()-4))</f>
        <v>247.875</v>
      </c>
      <c r="K17" s="43">
        <f t="array" aca="1" ref="K17" ca="1">INDIRECT("'"&amp;$B$3&amp;"'!"&amp;CHAR(64+COLUMN())&amp;(ROW()-4))</f>
        <v>78.546230665060193</v>
      </c>
      <c r="L17" s="43">
        <f t="array" aca="1" ref="L17" ca="1">INDIRECT("'"&amp;$B$3&amp;"'!"&amp;CHAR(64+COLUMN())&amp;(ROW()-4))</f>
        <v>71.900444090475119</v>
      </c>
      <c r="M17" s="43">
        <f t="array" aca="1" ref="M17" ca="1">INDIRECT("'"&amp;$B$3&amp;"'!"&amp;CHAR(64+COLUMN())&amp;(ROW()-4))</f>
        <v>88.139630117845286</v>
      </c>
      <c r="N17" s="43">
        <f t="array" aca="1" ref="N17" ca="1">INDIRECT("'"&amp;$B$3&amp;"'!"&amp;CHAR(64+COLUMN())&amp;(ROW()-4))</f>
        <v>82.939649459907969</v>
      </c>
      <c r="O17" s="43">
        <f t="array" aca="1" ref="O17" ca="1">INDIRECT("'"&amp;$B$3&amp;"'!"&amp;CHAR(64+COLUMN())&amp;(ROW()-4))</f>
        <v>4.6313355225661201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291.5</v>
      </c>
      <c r="D18" s="43">
        <f t="array" aca="1" ref="D18" ca="1">INDIRECT("'"&amp;$B$3&amp;"'!"&amp;CHAR(64+COLUMN())&amp;(ROW()-4))</f>
        <v>280</v>
      </c>
      <c r="E18" s="43">
        <f t="array" aca="1" ref="E18" ca="1">INDIRECT("'"&amp;$B$3&amp;"'!"&amp;CHAR(64+COLUMN())&amp;(ROW()-4))</f>
        <v>288.5</v>
      </c>
      <c r="F18" s="43">
        <f t="array" aca="1" ref="F18" ca="1">INDIRECT("'"&amp;$B$3&amp;"'!"&amp;CHAR(64+COLUMN())&amp;(ROW()-4))</f>
        <v>15844</v>
      </c>
      <c r="G18" s="43">
        <f t="array" aca="1" ref="G18" ca="1">INDIRECT("'"&amp;$B$3&amp;"'!"&amp;CHAR(64+COLUMN())&amp;(ROW()-4))</f>
        <v>3.4050179211469538</v>
      </c>
      <c r="H18" s="43">
        <f t="array" aca="1" ref="H18" ca="1">INDIRECT("'"&amp;$B$3&amp;"'!"&amp;CHAR(64+COLUMN())&amp;(ROW()-4))</f>
        <v>281.8</v>
      </c>
      <c r="I18" s="43">
        <f t="array" aca="1" ref="I18" ca="1">INDIRECT("'"&amp;$B$3&amp;"'!"&amp;CHAR(64+COLUMN())&amp;(ROW()-4))</f>
        <v>269.45</v>
      </c>
      <c r="J18" s="43">
        <f t="array" aca="1" ref="J18" ca="1">INDIRECT("'"&amp;$B$3&amp;"'!"&amp;CHAR(64+COLUMN())&amp;(ROW()-4))</f>
        <v>249.875</v>
      </c>
      <c r="K18" s="43">
        <f t="array" aca="1" ref="K18" ca="1">INDIRECT("'"&amp;$B$3&amp;"'!"&amp;CHAR(64+COLUMN())&amp;(ROW()-4))</f>
        <v>84.332118509537821</v>
      </c>
      <c r="L18" s="43">
        <f t="array" aca="1" ref="L18" ca="1">INDIRECT("'"&amp;$B$3&amp;"'!"&amp;CHAR(64+COLUMN())&amp;(ROW()-4))</f>
        <v>75.712304222959247</v>
      </c>
      <c r="M18" s="43">
        <f t="array" aca="1" ref="M18" ca="1">INDIRECT("'"&amp;$B$3&amp;"'!"&amp;CHAR(64+COLUMN())&amp;(ROW()-4))</f>
        <v>89.845895733994226</v>
      </c>
      <c r="N18" s="43">
        <f t="array" aca="1" ref="N18" ca="1">INDIRECT("'"&amp;$B$3&amp;"'!"&amp;CHAR(64+COLUMN())&amp;(ROW()-4))</f>
        <v>85.24173155127005</v>
      </c>
      <c r="O18" s="43">
        <f t="array" aca="1" ref="O18" ca="1">INDIRECT("'"&amp;$B$3&amp;"'!"&amp;CHAR(64+COLUMN())&amp;(ROW()-4))</f>
        <v>4.6250579122000897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292</v>
      </c>
      <c r="D19" s="43">
        <f t="array" aca="1" ref="D19" ca="1">INDIRECT("'"&amp;$B$3&amp;"'!"&amp;CHAR(64+COLUMN())&amp;(ROW()-4))</f>
        <v>285</v>
      </c>
      <c r="E19" s="43">
        <f t="array" aca="1" ref="E19" ca="1">INDIRECT("'"&amp;$B$3&amp;"'!"&amp;CHAR(64+COLUMN())&amp;(ROW()-4))</f>
        <v>285</v>
      </c>
      <c r="F19" s="43">
        <f t="array" aca="1" ref="F19" ca="1">INDIRECT("'"&amp;$B$3&amp;"'!"&amp;CHAR(64+COLUMN())&amp;(ROW()-4))</f>
        <v>8723</v>
      </c>
      <c r="G19" s="43">
        <f t="array" aca="1" ref="G19" ca="1">INDIRECT("'"&amp;$B$3&amp;"'!"&amp;CHAR(64+COLUMN())&amp;(ROW()-4))</f>
        <v>-1.21317157712305</v>
      </c>
      <c r="H19" s="43">
        <f t="array" aca="1" ref="H19" ca="1">INDIRECT("'"&amp;$B$3&amp;"'!"&amp;CHAR(64+COLUMN())&amp;(ROW()-4))</f>
        <v>283</v>
      </c>
      <c r="I19" s="43">
        <f t="array" aca="1" ref="I19" ca="1">INDIRECT("'"&amp;$B$3&amp;"'!"&amp;CHAR(64+COLUMN())&amp;(ROW()-4))</f>
        <v>273.5</v>
      </c>
      <c r="J19" s="43">
        <f t="array" aca="1" ref="J19" ca="1">INDIRECT("'"&amp;$B$3&amp;"'!"&amp;CHAR(64+COLUMN())&amp;(ROW()-4))</f>
        <v>252.5</v>
      </c>
      <c r="K19" s="43">
        <f t="array" aca="1" ref="K19" ca="1">INDIRECT("'"&amp;$B$3&amp;"'!"&amp;CHAR(64+COLUMN())&amp;(ROW()-4))</f>
        <v>75.348215394800931</v>
      </c>
      <c r="L19" s="43">
        <f t="array" aca="1" ref="L19" ca="1">INDIRECT("'"&amp;$B$3&amp;"'!"&amp;CHAR(64+COLUMN())&amp;(ROW()-4))</f>
        <v>71.797758360652381</v>
      </c>
      <c r="M19" s="43">
        <f t="array" aca="1" ref="M19" ca="1">INDIRECT("'"&amp;$B$3&amp;"'!"&amp;CHAR(64+COLUMN())&amp;(ROW()-4))</f>
        <v>87.469280283568168</v>
      </c>
      <c r="N19" s="43">
        <f t="array" aca="1" ref="N19" ca="1">INDIRECT("'"&amp;$B$3&amp;"'!"&amp;CHAR(64+COLUMN())&amp;(ROW()-4))</f>
        <v>85.984247795369413</v>
      </c>
      <c r="O19" s="43">
        <f t="array" aca="1" ref="O19" ca="1">INDIRECT("'"&amp;$B$3&amp;"'!"&amp;CHAR(64+COLUMN())&amp;(ROW()-4))</f>
        <v>4.0768707653340783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289</v>
      </c>
      <c r="D20" s="43">
        <f t="array" aca="1" ref="D20" ca="1">INDIRECT("'"&amp;$B$3&amp;"'!"&amp;CHAR(64+COLUMN())&amp;(ROW()-4))</f>
        <v>272</v>
      </c>
      <c r="E20" s="43">
        <f t="array" aca="1" ref="E20" ca="1">INDIRECT("'"&amp;$B$3&amp;"'!"&amp;CHAR(64+COLUMN())&amp;(ROW()-4))</f>
        <v>275</v>
      </c>
      <c r="F20" s="43">
        <f t="array" aca="1" ref="F20" ca="1">INDIRECT("'"&amp;$B$3&amp;"'!"&amp;CHAR(64+COLUMN())&amp;(ROW()-4))</f>
        <v>9064</v>
      </c>
      <c r="G20" s="43">
        <f t="array" aca="1" ref="G20" ca="1">INDIRECT("'"&amp;$B$3&amp;"'!"&amp;CHAR(64+COLUMN())&amp;(ROW()-4))</f>
        <v>-3.5087719298245612</v>
      </c>
      <c r="H20" s="43">
        <f t="array" aca="1" ref="H20" ca="1">INDIRECT("'"&amp;$B$3&amp;"'!"&amp;CHAR(64+COLUMN())&amp;(ROW()-4))</f>
        <v>281.8</v>
      </c>
      <c r="I20" s="43">
        <f t="array" aca="1" ref="I20" ca="1">INDIRECT("'"&amp;$B$3&amp;"'!"&amp;CHAR(64+COLUMN())&amp;(ROW()-4))</f>
        <v>275.89999999999998</v>
      </c>
      <c r="J20" s="43">
        <f t="array" aca="1" ref="J20" ca="1">INDIRECT("'"&amp;$B$3&amp;"'!"&amp;CHAR(64+COLUMN())&amp;(ROW()-4))</f>
        <v>254.5</v>
      </c>
      <c r="K20" s="43">
        <f t="array" aca="1" ref="K20" ca="1">INDIRECT("'"&amp;$B$3&amp;"'!"&amp;CHAR(64+COLUMN())&amp;(ROW()-4))</f>
        <v>55.190218822713092</v>
      </c>
      <c r="L20" s="43">
        <f t="array" aca="1" ref="L20" ca="1">INDIRECT("'"&amp;$B$3&amp;"'!"&amp;CHAR(64+COLUMN())&amp;(ROW()-4))</f>
        <v>61.833217663560369</v>
      </c>
      <c r="M20" s="43">
        <f t="array" aca="1" ref="M20" ca="1">INDIRECT("'"&amp;$B$3&amp;"'!"&amp;CHAR(64+COLUMN())&amp;(ROW()-4))</f>
        <v>74.474469683994926</v>
      </c>
      <c r="N20" s="43">
        <f t="array" aca="1" ref="N20" ca="1">INDIRECT("'"&amp;$B$3&amp;"'!"&amp;CHAR(64+COLUMN())&amp;(ROW()-4))</f>
        <v>82.147655091577917</v>
      </c>
      <c r="O20" s="43">
        <f t="array" aca="1" ref="O20" ca="1">INDIRECT("'"&amp;$B$3&amp;"'!"&amp;CHAR(64+COLUMN())&amp;(ROW()-4))</f>
        <v>2.7936552676420092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281</v>
      </c>
      <c r="D21" s="43">
        <f t="array" aca="1" ref="D21" ca="1">INDIRECT("'"&amp;$B$3&amp;"'!"&amp;CHAR(64+COLUMN())&amp;(ROW()-4))</f>
        <v>275.5</v>
      </c>
      <c r="E21" s="43">
        <f t="array" aca="1" ref="E21" ca="1">INDIRECT("'"&amp;$B$3&amp;"'!"&amp;CHAR(64+COLUMN())&amp;(ROW()-4))</f>
        <v>278</v>
      </c>
      <c r="F21" s="43">
        <f t="array" aca="1" ref="F21" ca="1">INDIRECT("'"&amp;$B$3&amp;"'!"&amp;CHAR(64+COLUMN())&amp;(ROW()-4))</f>
        <v>5035</v>
      </c>
      <c r="G21" s="43">
        <f t="array" aca="1" ref="G21" ca="1">INDIRECT("'"&amp;$B$3&amp;"'!"&amp;CHAR(64+COLUMN())&amp;(ROW()-4))</f>
        <v>1.0909090909090911</v>
      </c>
      <c r="H21" s="43">
        <f t="array" aca="1" ref="H21" ca="1">INDIRECT("'"&amp;$B$3&amp;"'!"&amp;CHAR(64+COLUMN())&amp;(ROW()-4))</f>
        <v>281.10000000000002</v>
      </c>
      <c r="I21" s="43">
        <f t="array" aca="1" ref="I21" ca="1">INDIRECT("'"&amp;$B$3&amp;"'!"&amp;CHAR(64+COLUMN())&amp;(ROW()-4))</f>
        <v>277.45</v>
      </c>
      <c r="J21" s="43">
        <f t="array" aca="1" ref="J21" ca="1">INDIRECT("'"&amp;$B$3&amp;"'!"&amp;CHAR(64+COLUMN())&amp;(ROW()-4))</f>
        <v>256.7</v>
      </c>
      <c r="K21" s="43">
        <f t="array" aca="1" ref="K21" ca="1">INDIRECT("'"&amp;$B$3&amp;"'!"&amp;CHAR(64+COLUMN())&amp;(ROW()-4))</f>
        <v>59.126769623073919</v>
      </c>
      <c r="L21" s="43">
        <f t="array" aca="1" ref="L21" ca="1">INDIRECT("'"&amp;$B$3&amp;"'!"&amp;CHAR(64+COLUMN())&amp;(ROW()-4))</f>
        <v>63.491469797291423</v>
      </c>
      <c r="M21" s="43">
        <f t="array" aca="1" ref="M21" ca="1">INDIRECT("'"&amp;$B$3&amp;"'!"&amp;CHAR(64+COLUMN())&amp;(ROW()-4))</f>
        <v>66.608710783481996</v>
      </c>
      <c r="N21" s="43">
        <f t="array" aca="1" ref="N21" ca="1">INDIRECT("'"&amp;$B$3&amp;"'!"&amp;CHAR(64+COLUMN())&amp;(ROW()-4))</f>
        <v>76.968006988879267</v>
      </c>
      <c r="O21" s="43">
        <f t="array" aca="1" ref="O21" ca="1">INDIRECT("'"&amp;$B$3&amp;"'!"&amp;CHAR(64+COLUMN())&amp;(ROW()-4))</f>
        <v>1.940268840496127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286.5</v>
      </c>
      <c r="D22" s="43">
        <f t="array" aca="1" ref="D22" ca="1">INDIRECT("'"&amp;$B$3&amp;"'!"&amp;CHAR(64+COLUMN())&amp;(ROW()-4))</f>
        <v>276</v>
      </c>
      <c r="E22" s="43">
        <f t="array" aca="1" ref="E22" ca="1">INDIRECT("'"&amp;$B$3&amp;"'!"&amp;CHAR(64+COLUMN())&amp;(ROW()-4))</f>
        <v>285</v>
      </c>
      <c r="F22" s="43">
        <f t="array" aca="1" ref="F22" ca="1">INDIRECT("'"&amp;$B$3&amp;"'!"&amp;CHAR(64+COLUMN())&amp;(ROW()-4))</f>
        <v>8641</v>
      </c>
      <c r="G22" s="43">
        <f t="array" aca="1" ref="G22" ca="1">INDIRECT("'"&amp;$B$3&amp;"'!"&amp;CHAR(64+COLUMN())&amp;(ROW()-4))</f>
        <v>2.5179856115107908</v>
      </c>
      <c r="H22" s="43">
        <f t="array" aca="1" ref="H22" ca="1">INDIRECT("'"&amp;$B$3&amp;"'!"&amp;CHAR(64+COLUMN())&amp;(ROW()-4))</f>
        <v>282.3</v>
      </c>
      <c r="I22" s="43">
        <f t="array" aca="1" ref="I22" ca="1">INDIRECT("'"&amp;$B$3&amp;"'!"&amp;CHAR(64+COLUMN())&amp;(ROW()-4))</f>
        <v>279.55</v>
      </c>
      <c r="J22" s="43">
        <f t="array" aca="1" ref="J22" ca="1">INDIRECT("'"&amp;$B$3&amp;"'!"&amp;CHAR(64+COLUMN())&amp;(ROW()-4))</f>
        <v>259.27499999999998</v>
      </c>
      <c r="K22" s="43">
        <f t="array" aca="1" ref="K22" ca="1">INDIRECT("'"&amp;$B$3&amp;"'!"&amp;CHAR(64+COLUMN())&amp;(ROW()-4))</f>
        <v>67.195936728448515</v>
      </c>
      <c r="L22" s="43">
        <f t="array" aca="1" ref="L22" ca="1">INDIRECT("'"&amp;$B$3&amp;"'!"&amp;CHAR(64+COLUMN())&amp;(ROW()-4))</f>
        <v>67.127014665056478</v>
      </c>
      <c r="M22" s="43">
        <f t="array" aca="1" ref="M22" ca="1">INDIRECT("'"&amp;$B$3&amp;"'!"&amp;CHAR(64+COLUMN())&amp;(ROW()-4))</f>
        <v>68.016918300099107</v>
      </c>
      <c r="N22" s="43">
        <f t="array" aca="1" ref="N22" ca="1">INDIRECT("'"&amp;$B$3&amp;"'!"&amp;CHAR(64+COLUMN())&amp;(ROW()-4))</f>
        <v>73.984310759285876</v>
      </c>
      <c r="O22" s="43">
        <f t="array" aca="1" ref="O22" ca="1">INDIRECT("'"&amp;$B$3&amp;"'!"&amp;CHAR(64+COLUMN())&amp;(ROW()-4))</f>
        <v>1.651875264368035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278</v>
      </c>
      <c r="T22" s="55">
        <f ca="1">IF(OR(AND(LEFT($S$15,1)="🔴",RIGHT($S$15,2)="出場"),AND($S$15="🔴 觀望",$S$12="🔴")),ROUND(MAX(H25,E25*(1+N32*1.2)),1),"—")</f>
        <v>283.89999999999998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288.5</v>
      </c>
      <c r="D23" s="43">
        <f t="array" aca="1" ref="D23" ca="1">INDIRECT("'"&amp;$B$3&amp;"'!"&amp;CHAR(64+COLUMN())&amp;(ROW()-4))</f>
        <v>280</v>
      </c>
      <c r="E23" s="43">
        <f t="array" aca="1" ref="E23" ca="1">INDIRECT("'"&amp;$B$3&amp;"'!"&amp;CHAR(64+COLUMN())&amp;(ROW()-4))</f>
        <v>281.5</v>
      </c>
      <c r="F23" s="43">
        <f t="array" aca="1" ref="F23" ca="1">INDIRECT("'"&amp;$B$3&amp;"'!"&amp;CHAR(64+COLUMN())&amp;(ROW()-4))</f>
        <v>5090</v>
      </c>
      <c r="G23" s="43">
        <f t="array" aca="1" ref="G23" ca="1">INDIRECT("'"&amp;$B$3&amp;"'!"&amp;CHAR(64+COLUMN())&amp;(ROW()-4))</f>
        <v>-1.228070175438597</v>
      </c>
      <c r="H23" s="43">
        <f t="array" aca="1" ref="H23" ca="1">INDIRECT("'"&amp;$B$3&amp;"'!"&amp;CHAR(64+COLUMN())&amp;(ROW()-4))</f>
        <v>280.89999999999998</v>
      </c>
      <c r="I23" s="43">
        <f t="array" aca="1" ref="I23" ca="1">INDIRECT("'"&amp;$B$3&amp;"'!"&amp;CHAR(64+COLUMN())&amp;(ROW()-4))</f>
        <v>281.35000000000002</v>
      </c>
      <c r="J23" s="43">
        <f t="array" aca="1" ref="J23" ca="1">INDIRECT("'"&amp;$B$3&amp;"'!"&amp;CHAR(64+COLUMN())&amp;(ROW()-4))</f>
        <v>261.60000000000002</v>
      </c>
      <c r="K23" s="43">
        <f t="array" aca="1" ref="K23" ca="1">INDIRECT("'"&amp;$B$3&amp;"'!"&amp;CHAR(64+COLUMN())&amp;(ROW()-4))</f>
        <v>60.079430936928347</v>
      </c>
      <c r="L23" s="43">
        <f t="array" aca="1" ref="L23" ca="1">INDIRECT("'"&amp;$B$3&amp;"'!"&amp;CHAR(64+COLUMN())&amp;(ROW()-4))</f>
        <v>63.66873624469887</v>
      </c>
      <c r="M23" s="43">
        <f t="array" aca="1" ref="M23" ca="1">INDIRECT("'"&amp;$B$3&amp;"'!"&amp;CHAR(64+COLUMN())&amp;(ROW()-4))</f>
        <v>61.177945533399402</v>
      </c>
      <c r="N23" s="43">
        <f t="array" aca="1" ref="N23" ca="1">INDIRECT("'"&amp;$B$3&amp;"'!"&amp;CHAR(64+COLUMN())&amp;(ROW()-4))</f>
        <v>69.715522350657039</v>
      </c>
      <c r="O23" s="43">
        <f t="array" aca="1" ref="O23" ca="1">INDIRECT("'"&amp;$B$3&amp;"'!"&amp;CHAR(64+COLUMN())&amp;(ROW()-4))</f>
        <v>1.0588759013828299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279.89999999999998</v>
      </c>
      <c r="T23" s="59">
        <f ca="1">IF(OR(AND(LEFT($S$15,1)="🔴",RIGHT($S$15,2)="出場"),AND($S$15="🔴 觀望",$S$12="🔴")),ROUND(MAX(I25,E25*(1+N32*1.8)),1),"—")</f>
        <v>289.39999999999998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281</v>
      </c>
      <c r="D24" s="43">
        <f t="array" aca="1" ref="D24" ca="1">INDIRECT("'"&amp;$B$3&amp;"'!"&amp;CHAR(64+COLUMN())&amp;(ROW()-4))</f>
        <v>271</v>
      </c>
      <c r="E24" s="43">
        <f t="array" aca="1" ref="E24" ca="1">INDIRECT("'"&amp;$B$3&amp;"'!"&amp;CHAR(64+COLUMN())&amp;(ROW()-4))</f>
        <v>272.5</v>
      </c>
      <c r="F24" s="43">
        <f t="array" aca="1" ref="F24" ca="1">INDIRECT("'"&amp;$B$3&amp;"'!"&amp;CHAR(64+COLUMN())&amp;(ROW()-4))</f>
        <v>7261</v>
      </c>
      <c r="G24" s="43">
        <f t="array" aca="1" ref="G24" ca="1">INDIRECT("'"&amp;$B$3&amp;"'!"&amp;CHAR(64+COLUMN())&amp;(ROW()-4))</f>
        <v>-3.197158081705151</v>
      </c>
      <c r="H24" s="43">
        <f t="array" aca="1" ref="H24" ca="1">INDIRECT("'"&amp;$B$3&amp;"'!"&amp;CHAR(64+COLUMN())&amp;(ROW()-4))</f>
        <v>278.39999999999998</v>
      </c>
      <c r="I24" s="43">
        <f t="array" aca="1" ref="I24" ca="1">INDIRECT("'"&amp;$B$3&amp;"'!"&amp;CHAR(64+COLUMN())&amp;(ROW()-4))</f>
        <v>280.7</v>
      </c>
      <c r="J24" s="43">
        <f t="array" aca="1" ref="J24" ca="1">INDIRECT("'"&amp;$B$3&amp;"'!"&amp;CHAR(64+COLUMN())&amp;(ROW()-4))</f>
        <v>263.82499999999999</v>
      </c>
      <c r="K24" s="43">
        <f t="array" aca="1" ref="K24" ca="1">INDIRECT("'"&amp;$B$3&amp;"'!"&amp;CHAR(64+COLUMN())&amp;(ROW()-4))</f>
        <v>45.281517602445028</v>
      </c>
      <c r="L24" s="43">
        <f t="array" aca="1" ref="L24" ca="1">INDIRECT("'"&amp;$B$3&amp;"'!"&amp;CHAR(64+COLUMN())&amp;(ROW()-4))</f>
        <v>55.629241012234971</v>
      </c>
      <c r="M24" s="43">
        <f t="array" aca="1" ref="M24" ca="1">INDIRECT("'"&amp;$B$3&amp;"'!"&amp;CHAR(64+COLUMN())&amp;(ROW()-4))</f>
        <v>43.166249403218643</v>
      </c>
      <c r="N24" s="43">
        <f t="array" aca="1" ref="N24" ca="1">INDIRECT("'"&amp;$B$3&amp;"'!"&amp;CHAR(64+COLUMN())&amp;(ROW()-4))</f>
        <v>60.865764701510898</v>
      </c>
      <c r="O24" s="43">
        <f t="array" aca="1" ref="O24" ca="1">INDIRECT("'"&amp;$B$3&amp;"'!"&amp;CHAR(64+COLUMN())&amp;(ROW()-4))</f>
        <v>-4.7369004481906167E-2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291.2</v>
      </c>
      <c r="T24" s="61">
        <f ca="1">IF(OR(AND(LEFT($S$15,1)="🔴",RIGHT($S$15,2)="出場"),AND($S$15="🔴 觀望",$S$12="🔴")),ROUND(E25*(1+N32*2.4),1),"—")</f>
        <v>294.8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280</v>
      </c>
      <c r="D25" s="43">
        <f t="array" aca="1" ref="D25" ca="1">INDIRECT("'"&amp;$B$3&amp;"'!"&amp;CHAR(64+COLUMN())&amp;(ROW()-4))</f>
        <v>271</v>
      </c>
      <c r="E25" s="43">
        <f t="array" aca="1" ref="E25" ca="1">INDIRECT("'"&amp;$B$3&amp;"'!"&amp;CHAR(64+COLUMN())&amp;(ROW()-4))</f>
        <v>273</v>
      </c>
      <c r="F25" s="43">
        <f t="array" aca="1" ref="F25" ca="1">INDIRECT("'"&amp;$B$3&amp;"'!"&amp;CHAR(64+COLUMN())&amp;(ROW()-4))</f>
        <v>5636</v>
      </c>
      <c r="G25" s="43">
        <f t="array" aca="1" ref="G25" ca="1">INDIRECT("'"&amp;$B$3&amp;"'!"&amp;CHAR(64+COLUMN())&amp;(ROW()-4))</f>
        <v>0.1834862385321101</v>
      </c>
      <c r="H25" s="43">
        <f t="array" aca="1" ref="H25" ca="1">INDIRECT("'"&amp;$B$3&amp;"'!"&amp;CHAR(64+COLUMN())&amp;(ROW()-4))</f>
        <v>278</v>
      </c>
      <c r="I25" s="43">
        <f t="array" aca="1" ref="I25" ca="1">INDIRECT("'"&amp;$B$3&amp;"'!"&amp;CHAR(64+COLUMN())&amp;(ROW()-4))</f>
        <v>279.89999999999998</v>
      </c>
      <c r="J25" s="43">
        <f t="array" aca="1" ref="J25" ca="1">INDIRECT("'"&amp;$B$3&amp;"'!"&amp;CHAR(64+COLUMN())&amp;(ROW()-4))</f>
        <v>266.35000000000002</v>
      </c>
      <c r="K25" s="43">
        <f t="array" aca="1" ref="K25" ca="1">INDIRECT("'"&amp;$B$3&amp;"'!"&amp;CHAR(64+COLUMN())&amp;(ROW()-4))</f>
        <v>46.165500954546857</v>
      </c>
      <c r="L25" s="43">
        <f t="array" aca="1" ref="L25" ca="1">INDIRECT("'"&amp;$B$3&amp;"'!"&amp;CHAR(64+COLUMN())&amp;(ROW()-4))</f>
        <v>55.966221351402503</v>
      </c>
      <c r="M25" s="43">
        <f t="array" aca="1" ref="M25" ca="1">INDIRECT("'"&amp;$B$3&amp;"'!"&amp;CHAR(64+COLUMN())&amp;(ROW()-4))</f>
        <v>31.95210277674893</v>
      </c>
      <c r="N25" s="43">
        <f t="array" aca="1" ref="N25" ca="1">INDIRECT("'"&amp;$B$3&amp;"'!"&amp;CHAR(64+COLUMN())&amp;(ROW()-4))</f>
        <v>51.227877393256897</v>
      </c>
      <c r="O25" s="43">
        <f t="array" aca="1" ref="O25" ca="1">INDIRECT("'"&amp;$B$3&amp;"'!"&amp;CHAR(64+COLUMN())&amp;(ROW()-4))</f>
        <v>-0.81093931764582905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273.0、σ=3.33%）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14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263.89999999999998</v>
      </c>
      <c r="S27" s="69">
        <f ca="1">ROUND((E25*(1-N32)-E25)/E25,4)</f>
        <v>-3.3300000000000003E-2</v>
      </c>
      <c r="T27" s="70" t="str">
        <f ca="1">"再跌 "&amp;TEXT(ABS((E25*(1-N32)-E25)/E25),"0.0%")&amp;" 至 "&amp;TEXT(E25*(1-N32),"0.0")&amp;" 進入積極買進區"</f>
        <v>再跌 3.3% 至 263.9 進入積極買進區</v>
      </c>
    </row>
    <row r="28" spans="1:20" x14ac:dyDescent="0.2">
      <c r="A28" s="16" t="s">
        <v>123</v>
      </c>
      <c r="B28" s="16" t="s">
        <v>124</v>
      </c>
      <c r="C28" s="16" t="s">
        <v>125</v>
      </c>
      <c r="D28" s="16" t="s">
        <v>126</v>
      </c>
      <c r="E28" s="16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292</v>
      </c>
      <c r="Q28" s="71" t="s">
        <v>129</v>
      </c>
      <c r="R28" s="72">
        <f ca="1">ROUND(MAX(H25,E25*(1+N32)),1)</f>
        <v>282.10000000000002</v>
      </c>
      <c r="S28" s="73">
        <f ca="1">ROUND((MAX(H25,E25*(1+N32))-E25)/E25,4)</f>
        <v>3.3300000000000003E-2</v>
      </c>
      <c r="T28" s="74" t="str">
        <f ca="1">"再漲 "&amp;TEXT(ABS((MAX(H25,E25*(1+N32))-E25)/E25),"0.0%")&amp;" 至 "&amp;TEXT(MAX(H25,E25*(1+N32)),"0.0")&amp;" 進入反彈賣出區"</f>
        <v>再漲 3.3% 至 282.1 進入反彈賣出區</v>
      </c>
    </row>
    <row r="29" spans="1:20" x14ac:dyDescent="0.2">
      <c r="A29" s="17" t="s">
        <v>130</v>
      </c>
      <c r="B29" s="18">
        <v>4.6500000000000004</v>
      </c>
      <c r="C29" s="18">
        <v>4.55</v>
      </c>
      <c r="D29" s="18">
        <v>4.5599999999999996</v>
      </c>
      <c r="E29" s="18">
        <v>4.43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222</v>
      </c>
    </row>
    <row r="30" spans="1:20" ht="16" customHeight="1" x14ac:dyDescent="0.2">
      <c r="A30" s="17" t="s">
        <v>132</v>
      </c>
      <c r="B30" s="112">
        <v>18.190000000000001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266.35000000000002</v>
      </c>
    </row>
    <row r="31" spans="1:20" x14ac:dyDescent="0.2">
      <c r="A31" s="19" t="s">
        <v>134</v>
      </c>
      <c r="B31" s="20" t="s">
        <v>95</v>
      </c>
      <c r="C31" s="21" t="s">
        <v>178</v>
      </c>
      <c r="D31" s="22" t="s">
        <v>179</v>
      </c>
      <c r="E31" s="21" t="s">
        <v>180</v>
      </c>
      <c r="G31" s="9" t="s">
        <v>134</v>
      </c>
      <c r="H31" t="s">
        <v>95</v>
      </c>
      <c r="I31" s="10"/>
      <c r="J31" s="11"/>
      <c r="K31" s="10"/>
      <c r="M31" s="1" t="s">
        <v>158</v>
      </c>
      <c r="N31" s="6">
        <f ca="1">(E25-E6)/E6</f>
        <v>0.17672413793103448</v>
      </c>
    </row>
    <row r="32" spans="1:20" x14ac:dyDescent="0.2">
      <c r="A32" s="113" t="s">
        <v>181</v>
      </c>
      <c r="B32" s="106"/>
      <c r="C32" s="106"/>
      <c r="D32" s="106"/>
      <c r="E32" s="106"/>
      <c r="M32" s="1" t="s">
        <v>137</v>
      </c>
      <c r="N32" s="23">
        <f ca="1">STDEV(G7:G25)/100</f>
        <v>3.3317611268394692E-2</v>
      </c>
    </row>
    <row r="33" spans="1:14" ht="17" customHeight="1" x14ac:dyDescent="0.2">
      <c r="A33" s="108" t="s">
        <v>182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273</v>
      </c>
    </row>
    <row r="34" spans="1:14" x14ac:dyDescent="0.2">
      <c r="A34" t="s">
        <v>141</v>
      </c>
      <c r="B34" s="26">
        <v>10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26">
        <v>88.22</v>
      </c>
      <c r="G35" t="s">
        <v>146</v>
      </c>
      <c r="H35" s="27">
        <f>B36*B30</f>
        <v>181.9</v>
      </c>
      <c r="I35" s="27">
        <f>C36*B30</f>
        <v>272.85000000000002</v>
      </c>
      <c r="J35" s="27">
        <f>D36*B30</f>
        <v>363.8</v>
      </c>
    </row>
    <row r="36" spans="1:14" ht="17" customHeight="1" x14ac:dyDescent="0.2">
      <c r="A36" t="s">
        <v>147</v>
      </c>
      <c r="B36" s="26">
        <v>10</v>
      </c>
      <c r="C36" s="26">
        <v>15</v>
      </c>
      <c r="D36" s="26">
        <v>20</v>
      </c>
      <c r="G36" t="s">
        <v>148</v>
      </c>
      <c r="H36" s="27">
        <f>B37*B35</f>
        <v>176.44</v>
      </c>
      <c r="I36" s="27">
        <f>C37*B35</f>
        <v>264.65999999999997</v>
      </c>
      <c r="J36" s="27">
        <f>D37*B35</f>
        <v>396.99</v>
      </c>
    </row>
    <row r="37" spans="1:14" ht="17" customHeight="1" x14ac:dyDescent="0.2">
      <c r="A37" t="s">
        <v>149</v>
      </c>
      <c r="B37" s="26">
        <v>2</v>
      </c>
      <c r="C37" s="26">
        <v>3</v>
      </c>
      <c r="D37" s="26">
        <v>4.5</v>
      </c>
      <c r="G37" t="s">
        <v>150</v>
      </c>
      <c r="H37" s="27">
        <f>B34/B38</f>
        <v>166.66666666666669</v>
      </c>
      <c r="I37" s="27">
        <f>B34/C38</f>
        <v>222.22222222222223</v>
      </c>
      <c r="J37" s="27">
        <f>B34/D38</f>
        <v>333.33333333333337</v>
      </c>
    </row>
    <row r="38" spans="1:14" ht="17" customHeight="1" x14ac:dyDescent="0.25">
      <c r="A38" s="40" t="s">
        <v>151</v>
      </c>
      <c r="B38" s="37">
        <v>0.06</v>
      </c>
      <c r="C38" s="37">
        <v>4.4999999999999998E-2</v>
      </c>
      <c r="D38" s="37">
        <v>0.03</v>
      </c>
      <c r="G38" s="29" t="s">
        <v>152</v>
      </c>
      <c r="H38" s="38">
        <f>AVERAGE(H35,H36,H37)</f>
        <v>175.00222222222223</v>
      </c>
      <c r="I38" s="38">
        <f>AVERAGE(I35,I36,I37)</f>
        <v>253.24407407407406</v>
      </c>
      <c r="J38" s="39">
        <f>AVERAGE(J35,J36,J37)</f>
        <v>364.70777777777784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9" priority="1" operator="lessThan">
      <formula>0</formula>
    </cfRule>
  </conditionalFormatting>
  <conditionalFormatting sqref="O6:O25">
    <cfRule type="cellIs" dxfId="8" priority="2" operator="lessThan">
      <formula>0</formula>
    </cfRule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T38"/>
  <sheetViews>
    <sheetView workbookViewId="0">
      <pane ySplit="5" topLeftCell="A22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3" width="8.33203125" bestFit="1" customWidth="1"/>
    <col min="4" max="5" width="7.5" bestFit="1" customWidth="1"/>
    <col min="6" max="6" width="10.33203125" bestFit="1" customWidth="1"/>
    <col min="7" max="7" width="10" bestFit="1" customWidth="1"/>
    <col min="8" max="10" width="7.5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7.5" bestFit="1" customWidth="1"/>
    <col min="15" max="15" width="10.5" bestFit="1" customWidth="1"/>
    <col min="16" max="16" width="6.5" customWidth="1"/>
    <col min="17" max="17" width="14.1640625" bestFit="1" customWidth="1"/>
    <col min="18" max="18" width="40.83203125" bestFit="1" customWidth="1"/>
    <col min="19" max="19" width="10.33203125" bestFit="1" customWidth="1"/>
    <col min="20" max="20" width="55.83203125" bestFit="1" customWidth="1"/>
  </cols>
  <sheetData>
    <row r="1" spans="1:20" ht="19" customHeight="1" x14ac:dyDescent="0.25">
      <c r="A1" s="105" t="s">
        <v>183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s="2" t="s">
        <v>164</v>
      </c>
    </row>
    <row r="3" spans="1:20" x14ac:dyDescent="0.2">
      <c r="A3" s="1" t="s">
        <v>2</v>
      </c>
      <c r="B3" s="2">
        <v>3034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391.5</v>
      </c>
      <c r="D6" s="43">
        <f t="array" aca="1" ref="D6" ca="1">INDIRECT("'"&amp;$B$3&amp;"'!"&amp;CHAR(64+COLUMN())&amp;(ROW()-4))</f>
        <v>382.5</v>
      </c>
      <c r="E6" s="43">
        <f t="array" aca="1" ref="E6" ca="1">INDIRECT("'"&amp;$B$3&amp;"'!"&amp;CHAR(64+COLUMN())&amp;(ROW()-4))</f>
        <v>391.5</v>
      </c>
      <c r="F6" s="43">
        <f t="array" aca="1" ref="F6" ca="1">INDIRECT("'"&amp;$B$3&amp;"'!"&amp;CHAR(64+COLUMN())&amp;(ROW()-4))</f>
        <v>3466</v>
      </c>
      <c r="G6" s="43">
        <f t="array" aca="1" ref="G6" ca="1">INDIRECT("'"&amp;$B$3&amp;"'!"&amp;CHAR(64+COLUMN())&amp;(ROW()-4))</f>
        <v>3.162055335968379</v>
      </c>
      <c r="H6" s="43">
        <f t="array" aca="1" ref="H6" ca="1">INDIRECT("'"&amp;$B$3&amp;"'!"&amp;CHAR(64+COLUMN())&amp;(ROW()-4))</f>
        <v>390.6</v>
      </c>
      <c r="I6" s="43">
        <f t="array" aca="1" ref="I6" ca="1">INDIRECT("'"&amp;$B$3&amp;"'!"&amp;CHAR(64+COLUMN())&amp;(ROW()-4))</f>
        <v>383.1</v>
      </c>
      <c r="J6" s="43">
        <f t="array" aca="1" ref="J6" ca="1">INDIRECT("'"&amp;$B$3&amp;"'!"&amp;CHAR(64+COLUMN())&amp;(ROW()-4))</f>
        <v>382.6</v>
      </c>
      <c r="K6" s="43">
        <f t="array" aca="1" ref="K6" ca="1">INDIRECT("'"&amp;$B$3&amp;"'!"&amp;CHAR(64+COLUMN())&amp;(ROW()-4))</f>
        <v>57.089481708329409</v>
      </c>
      <c r="L6" s="43">
        <f t="array" aca="1" ref="L6" ca="1">INDIRECT("'"&amp;$B$3&amp;"'!"&amp;CHAR(64+COLUMN())&amp;(ROW()-4))</f>
        <v>55.076035250940627</v>
      </c>
      <c r="M6" s="43">
        <f t="array" aca="1" ref="M6" ca="1">INDIRECT("'"&amp;$B$3&amp;"'!"&amp;CHAR(64+COLUMN())&amp;(ROW()-4))</f>
        <v>52.107936941943827</v>
      </c>
      <c r="N6" s="43">
        <f t="array" aca="1" ref="N6" ca="1">INDIRECT("'"&amp;$B$3&amp;"'!"&amp;CHAR(64+COLUMN())&amp;(ROW()-4))</f>
        <v>52.760228805979033</v>
      </c>
      <c r="O6" s="43">
        <f t="array" aca="1" ref="O6" ca="1">INDIRECT("'"&amp;$B$3&amp;"'!"&amp;CHAR(64+COLUMN())&amp;(ROW()-4))</f>
        <v>0.99726085185604729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396</v>
      </c>
      <c r="D7" s="43">
        <f t="array" aca="1" ref="D7" ca="1">INDIRECT("'"&amp;$B$3&amp;"'!"&amp;CHAR(64+COLUMN())&amp;(ROW()-4))</f>
        <v>382</v>
      </c>
      <c r="E7" s="43">
        <f t="array" aca="1" ref="E7" ca="1">INDIRECT("'"&amp;$B$3&amp;"'!"&amp;CHAR(64+COLUMN())&amp;(ROW()-4))</f>
        <v>382</v>
      </c>
      <c r="F7" s="43">
        <f t="array" aca="1" ref="F7" ca="1">INDIRECT("'"&amp;$B$3&amp;"'!"&amp;CHAR(64+COLUMN())&amp;(ROW()-4))</f>
        <v>2805</v>
      </c>
      <c r="G7" s="43">
        <f t="array" aca="1" ref="G7" ca="1">INDIRECT("'"&amp;$B$3&amp;"'!"&amp;CHAR(64+COLUMN())&amp;(ROW()-4))</f>
        <v>-2.426564495530013</v>
      </c>
      <c r="H7" s="43">
        <f t="array" aca="1" ref="H7" ca="1">INDIRECT("'"&amp;$B$3&amp;"'!"&amp;CHAR(64+COLUMN())&amp;(ROW()-4))</f>
        <v>388.6</v>
      </c>
      <c r="I7" s="43">
        <f t="array" aca="1" ref="I7" ca="1">INDIRECT("'"&amp;$B$3&amp;"'!"&amp;CHAR(64+COLUMN())&amp;(ROW()-4))</f>
        <v>383.95</v>
      </c>
      <c r="J7" s="43">
        <f t="array" aca="1" ref="J7" ca="1">INDIRECT("'"&amp;$B$3&amp;"'!"&amp;CHAR(64+COLUMN())&amp;(ROW()-4))</f>
        <v>382.97500000000002</v>
      </c>
      <c r="K7" s="43">
        <f t="array" aca="1" ref="K7" ca="1">INDIRECT("'"&amp;$B$3&amp;"'!"&amp;CHAR(64+COLUMN())&amp;(ROW()-4))</f>
        <v>47.07300843834556</v>
      </c>
      <c r="L7" s="43">
        <f t="array" aca="1" ref="L7" ca="1">INDIRECT("'"&amp;$B$3&amp;"'!"&amp;CHAR(64+COLUMN())&amp;(ROW()-4))</f>
        <v>49.37626007372743</v>
      </c>
      <c r="M7" s="43">
        <f t="array" aca="1" ref="M7" ca="1">INDIRECT("'"&amp;$B$3&amp;"'!"&amp;CHAR(64+COLUMN())&amp;(ROW()-4))</f>
        <v>45.697528737551593</v>
      </c>
      <c r="N7" s="43">
        <f t="array" aca="1" ref="N7" ca="1">INDIRECT("'"&amp;$B$3&amp;"'!"&amp;CHAR(64+COLUMN())&amp;(ROW()-4))</f>
        <v>50.405995449836553</v>
      </c>
      <c r="O7" s="43">
        <f t="array" aca="1" ref="O7" ca="1">INDIRECT("'"&amp;$B$3&amp;"'!"&amp;CHAR(64+COLUMN())&amp;(ROW()-4))</f>
        <v>0.49273769503189963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387</v>
      </c>
      <c r="D8" s="43">
        <f t="array" aca="1" ref="D8" ca="1">INDIRECT("'"&amp;$B$3&amp;"'!"&amp;CHAR(64+COLUMN())&amp;(ROW()-4))</f>
        <v>379</v>
      </c>
      <c r="E8" s="43">
        <f t="array" aca="1" ref="E8" ca="1">INDIRECT("'"&amp;$B$3&amp;"'!"&amp;CHAR(64+COLUMN())&amp;(ROW()-4))</f>
        <v>384.5</v>
      </c>
      <c r="F8" s="43">
        <f t="array" aca="1" ref="F8" ca="1">INDIRECT("'"&amp;$B$3&amp;"'!"&amp;CHAR(64+COLUMN())&amp;(ROW()-4))</f>
        <v>1991</v>
      </c>
      <c r="G8" s="43">
        <f t="array" aca="1" ref="G8" ca="1">INDIRECT("'"&amp;$B$3&amp;"'!"&amp;CHAR(64+COLUMN())&amp;(ROW()-4))</f>
        <v>0.65445026178010468</v>
      </c>
      <c r="H8" s="43">
        <f t="array" aca="1" ref="H8" ca="1">INDIRECT("'"&amp;$B$3&amp;"'!"&amp;CHAR(64+COLUMN())&amp;(ROW()-4))</f>
        <v>385.7</v>
      </c>
      <c r="I8" s="43">
        <f t="array" aca="1" ref="I8" ca="1">INDIRECT("'"&amp;$B$3&amp;"'!"&amp;CHAR(64+COLUMN())&amp;(ROW()-4))</f>
        <v>383.9</v>
      </c>
      <c r="J8" s="43">
        <f t="array" aca="1" ref="J8" ca="1">INDIRECT("'"&amp;$B$3&amp;"'!"&amp;CHAR(64+COLUMN())&amp;(ROW()-4))</f>
        <v>383.45</v>
      </c>
      <c r="K8" s="43">
        <f t="array" aca="1" ref="K8" ca="1">INDIRECT("'"&amp;$B$3&amp;"'!"&amp;CHAR(64+COLUMN())&amp;(ROW()-4))</f>
        <v>49.851531829297898</v>
      </c>
      <c r="L8" s="43">
        <f t="array" aca="1" ref="L8" ca="1">INDIRECT("'"&amp;$B$3&amp;"'!"&amp;CHAR(64+COLUMN())&amp;(ROW()-4))</f>
        <v>50.836887302882097</v>
      </c>
      <c r="M8" s="43">
        <f t="array" aca="1" ref="M8" ca="1">INDIRECT("'"&amp;$B$3&amp;"'!"&amp;CHAR(64+COLUMN())&amp;(ROW()-4))</f>
        <v>43.707028290787818</v>
      </c>
      <c r="N8" s="43">
        <f t="array" aca="1" ref="N8" ca="1">INDIRECT("'"&amp;$B$3&amp;"'!"&amp;CHAR(64+COLUMN())&amp;(ROW()-4))</f>
        <v>48.173006396820298</v>
      </c>
      <c r="O8" s="43">
        <f t="array" aca="1" ref="O8" ca="1">INDIRECT("'"&amp;$B$3&amp;"'!"&amp;CHAR(64+COLUMN())&amp;(ROW()-4))</f>
        <v>0.29978564489710552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MA10=414.9  MA20=405.1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393.5</v>
      </c>
      <c r="D9" s="43">
        <f t="array" aca="1" ref="D9" ca="1">INDIRECT("'"&amp;$B$3&amp;"'!"&amp;CHAR(64+COLUMN())&amp;(ROW()-4))</f>
        <v>387.5</v>
      </c>
      <c r="E9" s="43">
        <f t="array" aca="1" ref="E9" ca="1">INDIRECT("'"&amp;$B$3&amp;"'!"&amp;CHAR(64+COLUMN())&amp;(ROW()-4))</f>
        <v>391.5</v>
      </c>
      <c r="F9" s="43">
        <f t="array" aca="1" ref="F9" ca="1">INDIRECT("'"&amp;$B$3&amp;"'!"&amp;CHAR(64+COLUMN())&amp;(ROW()-4))</f>
        <v>2561</v>
      </c>
      <c r="G9" s="43">
        <f t="array" aca="1" ref="G9" ca="1">INDIRECT("'"&amp;$B$3&amp;"'!"&amp;CHAR(64+COLUMN())&amp;(ROW()-4))</f>
        <v>1.8205461638491549</v>
      </c>
      <c r="H9" s="43">
        <f t="array" aca="1" ref="H9" ca="1">INDIRECT("'"&amp;$B$3&amp;"'!"&amp;CHAR(64+COLUMN())&amp;(ROW()-4))</f>
        <v>385.8</v>
      </c>
      <c r="I9" s="43">
        <f t="array" aca="1" ref="I9" ca="1">INDIRECT("'"&amp;$B$3&amp;"'!"&amp;CHAR(64+COLUMN())&amp;(ROW()-4))</f>
        <v>385.85</v>
      </c>
      <c r="J9" s="43">
        <f t="array" aca="1" ref="J9" ca="1">INDIRECT("'"&amp;$B$3&amp;"'!"&amp;CHAR(64+COLUMN())&amp;(ROW()-4))</f>
        <v>384.07499999999999</v>
      </c>
      <c r="K9" s="43">
        <f t="array" aca="1" ref="K9" ca="1">INDIRECT("'"&amp;$B$3&amp;"'!"&amp;CHAR(64+COLUMN())&amp;(ROW()-4))</f>
        <v>57.370913832822929</v>
      </c>
      <c r="L9" s="43">
        <f t="array" aca="1" ref="L9" ca="1">INDIRECT("'"&amp;$B$3&amp;"'!"&amp;CHAR(64+COLUMN())&amp;(ROW()-4))</f>
        <v>54.818781344278591</v>
      </c>
      <c r="M9" s="43">
        <f t="array" aca="1" ref="M9" ca="1">INDIRECT("'"&amp;$B$3&amp;"'!"&amp;CHAR(64+COLUMN())&amp;(ROW()-4))</f>
        <v>47.086736809243163</v>
      </c>
      <c r="N9" s="43">
        <f t="array" aca="1" ref="N9" ca="1">INDIRECT("'"&amp;$B$3&amp;"'!"&amp;CHAR(64+COLUMN())&amp;(ROW()-4))</f>
        <v>47.810916534294577</v>
      </c>
      <c r="O9" s="43">
        <f t="array" aca="1" ref="O9" ca="1">INDIRECT("'"&amp;$B$3&amp;"'!"&amp;CHAR(64+COLUMN())&amp;(ROW()-4))</f>
        <v>0.59873140866039232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🔴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MA金叉:✗  KD金叉:✗(K=25)  RSI6:47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399.5</v>
      </c>
      <c r="D10" s="43">
        <f t="array" aca="1" ref="D10" ca="1">INDIRECT("'"&amp;$B$3&amp;"'!"&amp;CHAR(64+COLUMN())&amp;(ROW()-4))</f>
        <v>390.5</v>
      </c>
      <c r="E10" s="43">
        <f t="array" aca="1" ref="E10" ca="1">INDIRECT("'"&amp;$B$3&amp;"'!"&amp;CHAR(64+COLUMN())&amp;(ROW()-4))</f>
        <v>399.5</v>
      </c>
      <c r="F10" s="43">
        <f t="array" aca="1" ref="F10" ca="1">INDIRECT("'"&amp;$B$3&amp;"'!"&amp;CHAR(64+COLUMN())&amp;(ROW()-4))</f>
        <v>2856</v>
      </c>
      <c r="G10" s="43">
        <f t="array" aca="1" ref="G10" ca="1">INDIRECT("'"&amp;$B$3&amp;"'!"&amp;CHAR(64+COLUMN())&amp;(ROW()-4))</f>
        <v>2.043422733077906</v>
      </c>
      <c r="H10" s="43">
        <f t="array" aca="1" ref="H10" ca="1">INDIRECT("'"&amp;$B$3&amp;"'!"&amp;CHAR(64+COLUMN())&amp;(ROW()-4))</f>
        <v>389.8</v>
      </c>
      <c r="I10" s="43">
        <f t="array" aca="1" ref="I10" ca="1">INDIRECT("'"&amp;$B$3&amp;"'!"&amp;CHAR(64+COLUMN())&amp;(ROW()-4))</f>
        <v>388.8</v>
      </c>
      <c r="J10" s="43">
        <f t="array" aca="1" ref="J10" ca="1">INDIRECT("'"&amp;$B$3&amp;"'!"&amp;CHAR(64+COLUMN())&amp;(ROW()-4))</f>
        <v>384.82499999999999</v>
      </c>
      <c r="K10" s="43">
        <f t="array" aca="1" ref="K10" ca="1">INDIRECT("'"&amp;$B$3&amp;"'!"&amp;CHAR(64+COLUMN())&amp;(ROW()-4))</f>
        <v>64.641806563348027</v>
      </c>
      <c r="L10" s="43">
        <f t="array" aca="1" ref="L10" ca="1">INDIRECT("'"&amp;$B$3&amp;"'!"&amp;CHAR(64+COLUMN())&amp;(ROW()-4))</f>
        <v>58.962686070047177</v>
      </c>
      <c r="M10" s="43">
        <f t="array" aca="1" ref="M10" ca="1">INDIRECT("'"&amp;$B$3&amp;"'!"&amp;CHAR(64+COLUMN())&amp;(ROW()-4))</f>
        <v>57.074217982118391</v>
      </c>
      <c r="N10" s="43">
        <f t="array" aca="1" ref="N10" ca="1">INDIRECT("'"&amp;$B$3&amp;"'!"&amp;CHAR(64+COLUMN())&amp;(ROW()-4))</f>
        <v>50.898683683569189</v>
      </c>
      <c r="O10" s="43">
        <f t="array" aca="1" ref="O10" ca="1">INDIRECT("'"&amp;$B$3&amp;"'!"&amp;CHAR(64+COLUMN())&amp;(ROW()-4))</f>
        <v>1.2527709954361801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🔴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今量=2,586  5日均=5,115  比值=0.51x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401.5</v>
      </c>
      <c r="D11" s="43">
        <f t="array" aca="1" ref="D11" ca="1">INDIRECT("'"&amp;$B$3&amp;"'!"&amp;CHAR(64+COLUMN())&amp;(ROW()-4))</f>
        <v>393.5</v>
      </c>
      <c r="E11" s="43">
        <f t="array" aca="1" ref="E11" ca="1">INDIRECT("'"&amp;$B$3&amp;"'!"&amp;CHAR(64+COLUMN())&amp;(ROW()-4))</f>
        <v>394</v>
      </c>
      <c r="F11" s="43">
        <f t="array" aca="1" ref="F11" ca="1">INDIRECT("'"&amp;$B$3&amp;"'!"&amp;CHAR(64+COLUMN())&amp;(ROW()-4))</f>
        <v>2766</v>
      </c>
      <c r="G11" s="43">
        <f t="array" aca="1" ref="G11" ca="1">INDIRECT("'"&amp;$B$3&amp;"'!"&amp;CHAR(64+COLUMN())&amp;(ROW()-4))</f>
        <v>-1.3767209011264081</v>
      </c>
      <c r="H11" s="43">
        <f t="array" aca="1" ref="H11" ca="1">INDIRECT("'"&amp;$B$3&amp;"'!"&amp;CHAR(64+COLUMN())&amp;(ROW()-4))</f>
        <v>390.3</v>
      </c>
      <c r="I11" s="43">
        <f t="array" aca="1" ref="I11" ca="1">INDIRECT("'"&amp;$B$3&amp;"'!"&amp;CHAR(64+COLUMN())&amp;(ROW()-4))</f>
        <v>390.45</v>
      </c>
      <c r="J11" s="43">
        <f t="array" aca="1" ref="J11" ca="1">INDIRECT("'"&amp;$B$3&amp;"'!"&amp;CHAR(64+COLUMN())&amp;(ROW()-4))</f>
        <v>385.1</v>
      </c>
      <c r="K11" s="43">
        <f t="array" aca="1" ref="K11" ca="1">INDIRECT("'"&amp;$B$3&amp;"'!"&amp;CHAR(64+COLUMN())&amp;(ROW()-4))</f>
        <v>56.6678736094699</v>
      </c>
      <c r="L11" s="43">
        <f t="array" aca="1" ref="L11" ca="1">INDIRECT("'"&amp;$B$3&amp;"'!"&amp;CHAR(64+COLUMN())&amp;(ROW()-4))</f>
        <v>55.167799936976742</v>
      </c>
      <c r="M11" s="43">
        <f t="array" aca="1" ref="M11" ca="1">INDIRECT("'"&amp;$B$3&amp;"'!"&amp;CHAR(64+COLUMN())&amp;(ROW()-4))</f>
        <v>56.231296836563772</v>
      </c>
      <c r="N11" s="43">
        <f t="array" aca="1" ref="N11" ca="1">INDIRECT("'"&amp;$B$3&amp;"'!"&amp;CHAR(64+COLUMN())&amp;(ROW()-4))</f>
        <v>52.676221401234052</v>
      </c>
      <c r="O11" s="43">
        <f t="array" aca="1" ref="O11" ca="1">INDIRECT("'"&amp;$B$3&amp;"'!"&amp;CHAR(64+COLUMN())&amp;(ROW()-4))</f>
        <v>1.230696895231199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MA10=414.9  中 -5%=388.6  鬆 MA20=405.1  (σ=2.2%)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395</v>
      </c>
      <c r="D12" s="43">
        <f t="array" aca="1" ref="D12" ca="1">INDIRECT("'"&amp;$B$3&amp;"'!"&amp;CHAR(64+COLUMN())&amp;(ROW()-4))</f>
        <v>385</v>
      </c>
      <c r="E12" s="43">
        <f t="array" aca="1" ref="E12" ca="1">INDIRECT("'"&amp;$B$3&amp;"'!"&amp;CHAR(64+COLUMN())&amp;(ROW()-4))</f>
        <v>394.5</v>
      </c>
      <c r="F12" s="43">
        <f t="array" aca="1" ref="F12" ca="1">INDIRECT("'"&amp;$B$3&amp;"'!"&amp;CHAR(64+COLUMN())&amp;(ROW()-4))</f>
        <v>2322</v>
      </c>
      <c r="G12" s="43">
        <f t="array" aca="1" ref="G12" ca="1">INDIRECT("'"&amp;$B$3&amp;"'!"&amp;CHAR(64+COLUMN())&amp;(ROW()-4))</f>
        <v>0.12690355329949241</v>
      </c>
      <c r="H12" s="43">
        <f t="array" aca="1" ref="H12" ca="1">INDIRECT("'"&amp;$B$3&amp;"'!"&amp;CHAR(64+COLUMN())&amp;(ROW()-4))</f>
        <v>392.8</v>
      </c>
      <c r="I12" s="43">
        <f t="array" aca="1" ref="I12" ca="1">INDIRECT("'"&amp;$B$3&amp;"'!"&amp;CHAR(64+COLUMN())&amp;(ROW()-4))</f>
        <v>390.7</v>
      </c>
      <c r="J12" s="43">
        <f t="array" aca="1" ref="J12" ca="1">INDIRECT("'"&amp;$B$3&amp;"'!"&amp;CHAR(64+COLUMN())&amp;(ROW()-4))</f>
        <v>385.35</v>
      </c>
      <c r="K12" s="43">
        <f t="array" aca="1" ref="K12" ca="1">INDIRECT("'"&amp;$B$3&amp;"'!"&amp;CHAR(64+COLUMN())&amp;(ROW()-4))</f>
        <v>57.243250397813078</v>
      </c>
      <c r="L12" s="43">
        <f t="array" aca="1" ref="L12" ca="1">INDIRECT("'"&amp;$B$3&amp;"'!"&amp;CHAR(64+COLUMN())&amp;(ROW()-4))</f>
        <v>55.452144004918424</v>
      </c>
      <c r="M12" s="43">
        <f t="array" aca="1" ref="M12" ca="1">INDIRECT("'"&amp;$B$3&amp;"'!"&amp;CHAR(64+COLUMN())&amp;(ROW()-4))</f>
        <v>56.62333369351164</v>
      </c>
      <c r="N12" s="43">
        <f t="array" aca="1" ref="N12" ca="1">INDIRECT("'"&amp;$B$3&amp;"'!"&amp;CHAR(64+COLUMN())&amp;(ROW()-4))</f>
        <v>53.99192549865991</v>
      </c>
      <c r="O12" s="43">
        <f t="array" aca="1" ref="O12" ca="1">INDIRECT("'"&amp;$B$3&amp;"'!"&amp;CHAR(64+COLUMN())&amp;(ROW()-4))</f>
        <v>1.166105971071256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收盤=409.0  MA5=412.9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399.5</v>
      </c>
      <c r="D13" s="43">
        <f t="array" aca="1" ref="D13" ca="1">INDIRECT("'"&amp;$B$3&amp;"'!"&amp;CHAR(64+COLUMN())&amp;(ROW()-4))</f>
        <v>394</v>
      </c>
      <c r="E13" s="43">
        <f t="array" aca="1" ref="E13" ca="1">INDIRECT("'"&amp;$B$3&amp;"'!"&amp;CHAR(64+COLUMN())&amp;(ROW()-4))</f>
        <v>398.5</v>
      </c>
      <c r="F13" s="43">
        <f t="array" aca="1" ref="F13" ca="1">INDIRECT("'"&amp;$B$3&amp;"'!"&amp;CHAR(64+COLUMN())&amp;(ROW()-4))</f>
        <v>2721</v>
      </c>
      <c r="G13" s="43">
        <f t="array" aca="1" ref="G13" ca="1">INDIRECT("'"&amp;$B$3&amp;"'!"&amp;CHAR(64+COLUMN())&amp;(ROW()-4))</f>
        <v>1.013941698352345</v>
      </c>
      <c r="H13" s="43">
        <f t="array" aca="1" ref="H13" ca="1">INDIRECT("'"&amp;$B$3&amp;"'!"&amp;CHAR(64+COLUMN())&amp;(ROW()-4))</f>
        <v>395.6</v>
      </c>
      <c r="I13" s="43">
        <f t="array" aca="1" ref="I13" ca="1">INDIRECT("'"&amp;$B$3&amp;"'!"&amp;CHAR(64+COLUMN())&amp;(ROW()-4))</f>
        <v>390.65</v>
      </c>
      <c r="J13" s="43">
        <f t="array" aca="1" ref="J13" ca="1">INDIRECT("'"&amp;$B$3&amp;"'!"&amp;CHAR(64+COLUMN())&amp;(ROW()-4))</f>
        <v>385.875</v>
      </c>
      <c r="K13" s="43">
        <f t="array" aca="1" ref="K13" ca="1">INDIRECT("'"&amp;$B$3&amp;"'!"&amp;CHAR(64+COLUMN())&amp;(ROW()-4))</f>
        <v>62.07731695686887</v>
      </c>
      <c r="L13" s="43">
        <f t="array" aca="1" ref="L13" ca="1">INDIRECT("'"&amp;$B$3&amp;"'!"&amp;CHAR(64+COLUMN())&amp;(ROW()-4))</f>
        <v>57.788624566151718</v>
      </c>
      <c r="M13" s="43">
        <f t="array" aca="1" ref="M13" ca="1">INDIRECT("'"&amp;$B$3&amp;"'!"&amp;CHAR(64+COLUMN())&amp;(ROW()-4))</f>
        <v>66.63777801789665</v>
      </c>
      <c r="N13" s="43">
        <f t="array" aca="1" ref="N13" ca="1">INDIRECT("'"&amp;$B$3&amp;"'!"&amp;CHAR(64+COLUMN())&amp;(ROW()-4))</f>
        <v>58.207209671738823</v>
      </c>
      <c r="O13" s="43">
        <f t="array" aca="1" ref="O13" ca="1">INDIRECT("'"&amp;$B$3&amp;"'!"&amp;CHAR(64+COLUMN())&amp;(ROW()-4))</f>
        <v>1.2989563202947429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🟢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410</v>
      </c>
      <c r="D14" s="43">
        <f t="array" aca="1" ref="D14" ca="1">INDIRECT("'"&amp;$B$3&amp;"'!"&amp;CHAR(64+COLUMN())&amp;(ROW()-4))</f>
        <v>401</v>
      </c>
      <c r="E14" s="43">
        <f t="array" aca="1" ref="E14" ca="1">INDIRECT("'"&amp;$B$3&amp;"'!"&amp;CHAR(64+COLUMN())&amp;(ROW()-4))</f>
        <v>405</v>
      </c>
      <c r="F14" s="43">
        <f t="array" aca="1" ref="F14" ca="1">INDIRECT("'"&amp;$B$3&amp;"'!"&amp;CHAR(64+COLUMN())&amp;(ROW()-4))</f>
        <v>4513</v>
      </c>
      <c r="G14" s="43">
        <f t="array" aca="1" ref="G14" ca="1">INDIRECT("'"&amp;$B$3&amp;"'!"&amp;CHAR(64+COLUMN())&amp;(ROW()-4))</f>
        <v>1.6311166875784191</v>
      </c>
      <c r="H14" s="43">
        <f t="array" aca="1" ref="H14" ca="1">INDIRECT("'"&amp;$B$3&amp;"'!"&amp;CHAR(64+COLUMN())&amp;(ROW()-4))</f>
        <v>398.3</v>
      </c>
      <c r="I14" s="43">
        <f t="array" aca="1" ref="I14" ca="1">INDIRECT("'"&amp;$B$3&amp;"'!"&amp;CHAR(64+COLUMN())&amp;(ROW()-4))</f>
        <v>392.05</v>
      </c>
      <c r="J14" s="43">
        <f t="array" aca="1" ref="J14" ca="1">INDIRECT("'"&amp;$B$3&amp;"'!"&amp;CHAR(64+COLUMN())&amp;(ROW()-4))</f>
        <v>387.2</v>
      </c>
      <c r="K14" s="43">
        <f t="array" aca="1" ref="K14" ca="1">INDIRECT("'"&amp;$B$3&amp;"'!"&amp;CHAR(64+COLUMN())&amp;(ROW()-4))</f>
        <v>68.927714217503322</v>
      </c>
      <c r="L14" s="43">
        <f t="array" aca="1" ref="L14" ca="1">INDIRECT("'"&amp;$B$3&amp;"'!"&amp;CHAR(64+COLUMN())&amp;(ROW()-4))</f>
        <v>61.379460991619489</v>
      </c>
      <c r="M14" s="43">
        <f t="array" aca="1" ref="M14" ca="1">INDIRECT("'"&amp;$B$3&amp;"'!"&amp;CHAR(64+COLUMN())&amp;(ROW()-4))</f>
        <v>72.382174592576263</v>
      </c>
      <c r="N14" s="43">
        <f t="array" aca="1" ref="N14" ca="1">INDIRECT("'"&amp;$B$3&amp;"'!"&amp;CHAR(64+COLUMN())&amp;(ROW()-4))</f>
        <v>62.932197978684627</v>
      </c>
      <c r="O14" s="43">
        <f t="array" aca="1" ref="O14" ca="1">INDIRECT("'"&amp;$B$3&amp;"'!"&amp;CHAR(64+COLUMN())&amp;(ROW()-4))</f>
        <v>1.7051783751092049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414</v>
      </c>
      <c r="D15" s="43">
        <f t="array" aca="1" ref="D15" ca="1">INDIRECT("'"&amp;$B$3&amp;"'!"&amp;CHAR(64+COLUMN())&amp;(ROW()-4))</f>
        <v>406.5</v>
      </c>
      <c r="E15" s="43">
        <f t="array" aca="1" ref="E15" ca="1">INDIRECT("'"&amp;$B$3&amp;"'!"&amp;CHAR(64+COLUMN())&amp;(ROW()-4))</f>
        <v>412</v>
      </c>
      <c r="F15" s="43">
        <f t="array" aca="1" ref="F15" ca="1">INDIRECT("'"&amp;$B$3&amp;"'!"&amp;CHAR(64+COLUMN())&amp;(ROW()-4))</f>
        <v>4105</v>
      </c>
      <c r="G15" s="43">
        <f t="array" aca="1" ref="G15" ca="1">INDIRECT("'"&amp;$B$3&amp;"'!"&amp;CHAR(64+COLUMN())&amp;(ROW()-4))</f>
        <v>1.728395061728395</v>
      </c>
      <c r="H15" s="43">
        <f t="array" aca="1" ref="H15" ca="1">INDIRECT("'"&amp;$B$3&amp;"'!"&amp;CHAR(64+COLUMN())&amp;(ROW()-4))</f>
        <v>400.8</v>
      </c>
      <c r="I15" s="43">
        <f t="array" aca="1" ref="I15" ca="1">INDIRECT("'"&amp;$B$3&amp;"'!"&amp;CHAR(64+COLUMN())&amp;(ROW()-4))</f>
        <v>395.3</v>
      </c>
      <c r="J15" s="43">
        <f t="array" aca="1" ref="J15" ca="1">INDIRECT("'"&amp;$B$3&amp;"'!"&amp;CHAR(64+COLUMN())&amp;(ROW()-4))</f>
        <v>388.75</v>
      </c>
      <c r="K15" s="43">
        <f t="array" aca="1" ref="K15" ca="1">INDIRECT("'"&amp;$B$3&amp;"'!"&amp;CHAR(64+COLUMN())&amp;(ROW()-4))</f>
        <v>74.808514256260665</v>
      </c>
      <c r="L15" s="43">
        <f t="array" aca="1" ref="L15" ca="1">INDIRECT("'"&amp;$B$3&amp;"'!"&amp;CHAR(64+COLUMN())&amp;(ROW()-4))</f>
        <v>64.888504039682516</v>
      </c>
      <c r="M15" s="43">
        <f t="array" aca="1" ref="M15" ca="1">INDIRECT("'"&amp;$B$3&amp;"'!"&amp;CHAR(64+COLUMN())&amp;(ROW()-4))</f>
        <v>79.683354490288934</v>
      </c>
      <c r="N15" s="43">
        <f t="array" aca="1" ref="N15" ca="1">INDIRECT("'"&amp;$B$3&amp;"'!"&amp;CHAR(64+COLUMN())&amp;(ROW()-4))</f>
        <v>68.515916815886058</v>
      </c>
      <c r="O15" s="43">
        <f t="array" aca="1" ref="O15" ca="1">INDIRECT("'"&amp;$B$3&amp;"'!"&amp;CHAR(64+COLUMN())&amp;(ROW()-4))</f>
        <v>2.2894720730042581</v>
      </c>
      <c r="Q15" s="49" t="s">
        <v>46</v>
      </c>
      <c r="R15" s="50" t="str">
        <f ca="1">"通過 "&amp;(COUNTIF(S7:S13,"🟢"))&amp;" / 7  警示 "&amp;COUNTIF(S7:S13,"🟡")&amp;"  危險 "&amp;COUNTIF(S7:S13,"🔴")</f>
        <v>通過 3 / 7  警示 0  危險 3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🔴 觀望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415</v>
      </c>
      <c r="D16" s="43">
        <f t="array" aca="1" ref="D16" ca="1">INDIRECT("'"&amp;$B$3&amp;"'!"&amp;CHAR(64+COLUMN())&amp;(ROW()-4))</f>
        <v>408.5</v>
      </c>
      <c r="E16" s="43">
        <f t="array" aca="1" ref="E16" ca="1">INDIRECT("'"&amp;$B$3&amp;"'!"&amp;CHAR(64+COLUMN())&amp;(ROW()-4))</f>
        <v>415</v>
      </c>
      <c r="F16" s="43">
        <f t="array" aca="1" ref="F16" ca="1">INDIRECT("'"&amp;$B$3&amp;"'!"&amp;CHAR(64+COLUMN())&amp;(ROW()-4))</f>
        <v>3081</v>
      </c>
      <c r="G16" s="43">
        <f t="array" aca="1" ref="G16" ca="1">INDIRECT("'"&amp;$B$3&amp;"'!"&amp;CHAR(64+COLUMN())&amp;(ROW()-4))</f>
        <v>0.72815533980582525</v>
      </c>
      <c r="H16" s="43">
        <f t="array" aca="1" ref="H16" ca="1">INDIRECT("'"&amp;$B$3&amp;"'!"&amp;CHAR(64+COLUMN())&amp;(ROW()-4))</f>
        <v>405</v>
      </c>
      <c r="I16" s="43">
        <f t="array" aca="1" ref="I16" ca="1">INDIRECT("'"&amp;$B$3&amp;"'!"&amp;CHAR(64+COLUMN())&amp;(ROW()-4))</f>
        <v>397.65</v>
      </c>
      <c r="J16" s="43">
        <f t="array" aca="1" ref="J16" ca="1">INDIRECT("'"&amp;$B$3&amp;"'!"&amp;CHAR(64+COLUMN())&amp;(ROW()-4))</f>
        <v>390.375</v>
      </c>
      <c r="K16" s="43">
        <f t="array" aca="1" ref="K16" ca="1">INDIRECT("'"&amp;$B$3&amp;"'!"&amp;CHAR(64+COLUMN())&amp;(ROW()-4))</f>
        <v>77.043024460343247</v>
      </c>
      <c r="L16" s="43">
        <f t="array" aca="1" ref="L16" ca="1">INDIRECT("'"&amp;$B$3&amp;"'!"&amp;CHAR(64+COLUMN())&amp;(ROW()-4))</f>
        <v>66.3192543178736</v>
      </c>
      <c r="M16" s="43">
        <f t="array" aca="1" ref="M16" ca="1">INDIRECT("'"&amp;$B$3&amp;"'!"&amp;CHAR(64+COLUMN())&amp;(ROW()-4))</f>
        <v>86.455569660192623</v>
      </c>
      <c r="N16" s="43">
        <f t="array" aca="1" ref="N16" ca="1">INDIRECT("'"&amp;$B$3&amp;"'!"&amp;CHAR(64+COLUMN())&amp;(ROW()-4))</f>
        <v>74.495801097321575</v>
      </c>
      <c r="O16" s="43">
        <f t="array" aca="1" ref="O16" ca="1">INDIRECT("'"&amp;$B$3&amp;"'!"&amp;CHAR(64+COLUMN())&amp;(ROW()-4))</f>
        <v>2.6942591605805628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421</v>
      </c>
      <c r="D17" s="43">
        <f t="array" aca="1" ref="D17" ca="1">INDIRECT("'"&amp;$B$3&amp;"'!"&amp;CHAR(64+COLUMN())&amp;(ROW()-4))</f>
        <v>409</v>
      </c>
      <c r="E17" s="43">
        <f t="array" aca="1" ref="E17" ca="1">INDIRECT("'"&amp;$B$3&amp;"'!"&amp;CHAR(64+COLUMN())&amp;(ROW()-4))</f>
        <v>415</v>
      </c>
      <c r="F17" s="43">
        <f t="array" aca="1" ref="F17" ca="1">INDIRECT("'"&amp;$B$3&amp;"'!"&amp;CHAR(64+COLUMN())&amp;(ROW()-4))</f>
        <v>6356</v>
      </c>
      <c r="G17" s="43">
        <f t="array" aca="1" ref="G17" ca="1">INDIRECT("'"&amp;$B$3&amp;"'!"&amp;CHAR(64+COLUMN())&amp;(ROW()-4))</f>
        <v>0</v>
      </c>
      <c r="H17" s="43">
        <f t="array" aca="1" ref="H17" ca="1">INDIRECT("'"&amp;$B$3&amp;"'!"&amp;CHAR(64+COLUMN())&amp;(ROW()-4))</f>
        <v>409.1</v>
      </c>
      <c r="I17" s="43">
        <f t="array" aca="1" ref="I17" ca="1">INDIRECT("'"&amp;$B$3&amp;"'!"&amp;CHAR(64+COLUMN())&amp;(ROW()-4))</f>
        <v>400.95</v>
      </c>
      <c r="J17" s="43">
        <f t="array" aca="1" ref="J17" ca="1">INDIRECT("'"&amp;$B$3&amp;"'!"&amp;CHAR(64+COLUMN())&amp;(ROW()-4))</f>
        <v>392.45</v>
      </c>
      <c r="K17" s="43">
        <f t="array" aca="1" ref="K17" ca="1">INDIRECT("'"&amp;$B$3&amp;"'!"&amp;CHAR(64+COLUMN())&amp;(ROW()-4))</f>
        <v>77.043024460343247</v>
      </c>
      <c r="L17" s="43">
        <f t="array" aca="1" ref="L17" ca="1">INDIRECT("'"&amp;$B$3&amp;"'!"&amp;CHAR(64+COLUMN())&amp;(ROW()-4))</f>
        <v>66.3192543178736</v>
      </c>
      <c r="M17" s="43">
        <f t="array" aca="1" ref="M17" ca="1">INDIRECT("'"&amp;$B$3&amp;"'!"&amp;CHAR(64+COLUMN())&amp;(ROW()-4))</f>
        <v>85.414824217906187</v>
      </c>
      <c r="N17" s="43">
        <f t="array" aca="1" ref="N17" ca="1">INDIRECT("'"&amp;$B$3&amp;"'!"&amp;CHAR(64+COLUMN())&amp;(ROW()-4))</f>
        <v>78.135475470849769</v>
      </c>
      <c r="O17" s="43">
        <f t="array" aca="1" ref="O17" ca="1">INDIRECT("'"&amp;$B$3&amp;"'!"&amp;CHAR(64+COLUMN())&amp;(ROW()-4))</f>
        <v>2.767721621347679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417.5</v>
      </c>
      <c r="D18" s="43">
        <f t="array" aca="1" ref="D18" ca="1">INDIRECT("'"&amp;$B$3&amp;"'!"&amp;CHAR(64+COLUMN())&amp;(ROW()-4))</f>
        <v>411</v>
      </c>
      <c r="E18" s="43">
        <f t="array" aca="1" ref="E18" ca="1">INDIRECT("'"&amp;$B$3&amp;"'!"&amp;CHAR(64+COLUMN())&amp;(ROW()-4))</f>
        <v>415.5</v>
      </c>
      <c r="F18" s="43">
        <f t="array" aca="1" ref="F18" ca="1">INDIRECT("'"&amp;$B$3&amp;"'!"&amp;CHAR(64+COLUMN())&amp;(ROW()-4))</f>
        <v>4169</v>
      </c>
      <c r="G18" s="43">
        <f t="array" aca="1" ref="G18" ca="1">INDIRECT("'"&amp;$B$3&amp;"'!"&amp;CHAR(64+COLUMN())&amp;(ROW()-4))</f>
        <v>0.1204819277108434</v>
      </c>
      <c r="H18" s="43">
        <f t="array" aca="1" ref="H18" ca="1">INDIRECT("'"&amp;$B$3&amp;"'!"&amp;CHAR(64+COLUMN())&amp;(ROW()-4))</f>
        <v>412.5</v>
      </c>
      <c r="I18" s="43">
        <f t="array" aca="1" ref="I18" ca="1">INDIRECT("'"&amp;$B$3&amp;"'!"&amp;CHAR(64+COLUMN())&amp;(ROW()-4))</f>
        <v>404.05</v>
      </c>
      <c r="J18" s="43">
        <f t="array" aca="1" ref="J18" ca="1">INDIRECT("'"&amp;$B$3&amp;"'!"&amp;CHAR(64+COLUMN())&amp;(ROW()-4))</f>
        <v>393.97500000000002</v>
      </c>
      <c r="K18" s="43">
        <f t="array" aca="1" ref="K18" ca="1">INDIRECT("'"&amp;$B$3&amp;"'!"&amp;CHAR(64+COLUMN())&amp;(ROW()-4))</f>
        <v>77.521551123493964</v>
      </c>
      <c r="L18" s="43">
        <f t="array" aca="1" ref="L18" ca="1">INDIRECT("'"&amp;$B$3&amp;"'!"&amp;CHAR(64+COLUMN())&amp;(ROW()-4))</f>
        <v>66.589293038840111</v>
      </c>
      <c r="M18" s="43">
        <f t="array" aca="1" ref="M18" ca="1">INDIRECT("'"&amp;$B$3&amp;"'!"&amp;CHAR(64+COLUMN())&amp;(ROW()-4))</f>
        <v>85.183956886011529</v>
      </c>
      <c r="N18" s="43">
        <f t="array" aca="1" ref="N18" ca="1">INDIRECT("'"&amp;$B$3&amp;"'!"&amp;CHAR(64+COLUMN())&amp;(ROW()-4))</f>
        <v>80.484969275903694</v>
      </c>
      <c r="O18" s="43">
        <f t="array" aca="1" ref="O18" ca="1">INDIRECT("'"&amp;$B$3&amp;"'!"&amp;CHAR(64+COLUMN())&amp;(ROW()-4))</f>
        <v>2.655265835752382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434.5</v>
      </c>
      <c r="D19" s="43">
        <f t="array" aca="1" ref="D19" ca="1">INDIRECT("'"&amp;$B$3&amp;"'!"&amp;CHAR(64+COLUMN())&amp;(ROW()-4))</f>
        <v>416</v>
      </c>
      <c r="E19" s="43">
        <f t="array" aca="1" ref="E19" ca="1">INDIRECT("'"&amp;$B$3&amp;"'!"&amp;CHAR(64+COLUMN())&amp;(ROW()-4))</f>
        <v>432.5</v>
      </c>
      <c r="F19" s="43">
        <f t="array" aca="1" ref="F19" ca="1">INDIRECT("'"&amp;$B$3&amp;"'!"&amp;CHAR(64+COLUMN())&amp;(ROW()-4))</f>
        <v>7962</v>
      </c>
      <c r="G19" s="43">
        <f t="array" aca="1" ref="G19" ca="1">INDIRECT("'"&amp;$B$3&amp;"'!"&amp;CHAR(64+COLUMN())&amp;(ROW()-4))</f>
        <v>4.0914560770156454</v>
      </c>
      <c r="H19" s="43">
        <f t="array" aca="1" ref="H19" ca="1">INDIRECT("'"&amp;$B$3&amp;"'!"&amp;CHAR(64+COLUMN())&amp;(ROW()-4))</f>
        <v>418</v>
      </c>
      <c r="I19" s="43">
        <f t="array" aca="1" ref="I19" ca="1">INDIRECT("'"&amp;$B$3&amp;"'!"&amp;CHAR(64+COLUMN())&amp;(ROW()-4))</f>
        <v>408.15</v>
      </c>
      <c r="J19" s="43">
        <f t="array" aca="1" ref="J19" ca="1">INDIRECT("'"&amp;$B$3&amp;"'!"&amp;CHAR(64+COLUMN())&amp;(ROW()-4))</f>
        <v>397</v>
      </c>
      <c r="K19" s="43">
        <f t="array" aca="1" ref="K19" ca="1">INDIRECT("'"&amp;$B$3&amp;"'!"&amp;CHAR(64+COLUMN())&amp;(ROW()-4))</f>
        <v>87.852478509806758</v>
      </c>
      <c r="L19" s="43">
        <f t="array" aca="1" ref="L19" ca="1">INDIRECT("'"&amp;$B$3&amp;"'!"&amp;CHAR(64+COLUMN())&amp;(ROW()-4))</f>
        <v>74.247555986157707</v>
      </c>
      <c r="M19" s="43">
        <f t="array" aca="1" ref="M19" ca="1">INDIRECT("'"&amp;$B$3&amp;"'!"&amp;CHAR(64+COLUMN())&amp;(ROW()-4))</f>
        <v>88.775836577206334</v>
      </c>
      <c r="N19" s="43">
        <f t="array" aca="1" ref="N19" ca="1">INDIRECT("'"&amp;$B$3&amp;"'!"&amp;CHAR(64+COLUMN())&amp;(ROW()-4))</f>
        <v>83.248591709671231</v>
      </c>
      <c r="O19" s="43">
        <f t="array" aca="1" ref="O19" ca="1">INDIRECT("'"&amp;$B$3&amp;"'!"&amp;CHAR(64+COLUMN())&amp;(ROW()-4))</f>
        <v>3.4791147783241119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438</v>
      </c>
      <c r="D20" s="43">
        <f t="array" aca="1" ref="D20" ca="1">INDIRECT("'"&amp;$B$3&amp;"'!"&amp;CHAR(64+COLUMN())&amp;(ROW()-4))</f>
        <v>406</v>
      </c>
      <c r="E20" s="43">
        <f t="array" aca="1" ref="E20" ca="1">INDIRECT("'"&amp;$B$3&amp;"'!"&amp;CHAR(64+COLUMN())&amp;(ROW()-4))</f>
        <v>406</v>
      </c>
      <c r="F20" s="43">
        <f t="array" aca="1" ref="F20" ca="1">INDIRECT("'"&amp;$B$3&amp;"'!"&amp;CHAR(64+COLUMN())&amp;(ROW()-4))</f>
        <v>9617</v>
      </c>
      <c r="G20" s="43">
        <f t="array" aca="1" ref="G20" ca="1">INDIRECT("'"&amp;$B$3&amp;"'!"&amp;CHAR(64+COLUMN())&amp;(ROW()-4))</f>
        <v>-6.1271676300578033</v>
      </c>
      <c r="H20" s="43">
        <f t="array" aca="1" ref="H20" ca="1">INDIRECT("'"&amp;$B$3&amp;"'!"&amp;CHAR(64+COLUMN())&amp;(ROW()-4))</f>
        <v>416.8</v>
      </c>
      <c r="I20" s="43">
        <f t="array" aca="1" ref="I20" ca="1">INDIRECT("'"&amp;$B$3&amp;"'!"&amp;CHAR(64+COLUMN())&amp;(ROW()-4))</f>
        <v>408.8</v>
      </c>
      <c r="J20" s="43">
        <f t="array" aca="1" ref="J20" ca="1">INDIRECT("'"&amp;$B$3&amp;"'!"&amp;CHAR(64+COLUMN())&amp;(ROW()-4))</f>
        <v>398.8</v>
      </c>
      <c r="K20" s="43">
        <f t="array" aca="1" ref="K20" ca="1">INDIRECT("'"&amp;$B$3&amp;"'!"&amp;CHAR(64+COLUMN())&amp;(ROW()-4))</f>
        <v>47.239921429661962</v>
      </c>
      <c r="L20" s="43">
        <f t="array" aca="1" ref="L20" ca="1">INDIRECT("'"&amp;$B$3&amp;"'!"&amp;CHAR(64+COLUMN())&amp;(ROW()-4))</f>
        <v>53.423598798409309</v>
      </c>
      <c r="M20" s="43">
        <f t="array" aca="1" ref="M20" ca="1">INDIRECT("'"&amp;$B$3&amp;"'!"&amp;CHAR(64+COLUMN())&amp;(ROW()-4))</f>
        <v>72.391438221282215</v>
      </c>
      <c r="N20" s="43">
        <f t="array" aca="1" ref="N20" ca="1">INDIRECT("'"&amp;$B$3&amp;"'!"&amp;CHAR(64+COLUMN())&amp;(ROW()-4))</f>
        <v>79.629540546874892</v>
      </c>
      <c r="O20" s="43">
        <f t="array" aca="1" ref="O20" ca="1">INDIRECT("'"&amp;$B$3&amp;"'!"&amp;CHAR(64+COLUMN())&amp;(ROW()-4))</f>
        <v>2.0626358799578108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428</v>
      </c>
      <c r="D21" s="43">
        <f t="array" aca="1" ref="D21" ca="1">INDIRECT("'"&amp;$B$3&amp;"'!"&amp;CHAR(64+COLUMN())&amp;(ROW()-4))</f>
        <v>411.5</v>
      </c>
      <c r="E21" s="43">
        <f t="array" aca="1" ref="E21" ca="1">INDIRECT("'"&amp;$B$3&amp;"'!"&amp;CHAR(64+COLUMN())&amp;(ROW()-4))</f>
        <v>418</v>
      </c>
      <c r="F21" s="43">
        <f t="array" aca="1" ref="F21" ca="1">INDIRECT("'"&amp;$B$3&amp;"'!"&amp;CHAR(64+COLUMN())&amp;(ROW()-4))</f>
        <v>6595</v>
      </c>
      <c r="G21" s="43">
        <f t="array" aca="1" ref="G21" ca="1">INDIRECT("'"&amp;$B$3&amp;"'!"&amp;CHAR(64+COLUMN())&amp;(ROW()-4))</f>
        <v>2.9556650246305418</v>
      </c>
      <c r="H21" s="43">
        <f t="array" aca="1" ref="H21" ca="1">INDIRECT("'"&amp;$B$3&amp;"'!"&amp;CHAR(64+COLUMN())&amp;(ROW()-4))</f>
        <v>417.4</v>
      </c>
      <c r="I21" s="43">
        <f t="array" aca="1" ref="I21" ca="1">INDIRECT("'"&amp;$B$3&amp;"'!"&amp;CHAR(64+COLUMN())&amp;(ROW()-4))</f>
        <v>411.2</v>
      </c>
      <c r="J21" s="43">
        <f t="array" aca="1" ref="J21" ca="1">INDIRECT("'"&amp;$B$3&amp;"'!"&amp;CHAR(64+COLUMN())&amp;(ROW()-4))</f>
        <v>400.82499999999999</v>
      </c>
      <c r="K21" s="43">
        <f t="array" aca="1" ref="K21" ca="1">INDIRECT("'"&amp;$B$3&amp;"'!"&amp;CHAR(64+COLUMN())&amp;(ROW()-4))</f>
        <v>57.832482339860398</v>
      </c>
      <c r="L21" s="43">
        <f t="array" aca="1" ref="L21" ca="1">INDIRECT("'"&amp;$B$3&amp;"'!"&amp;CHAR(64+COLUMN())&amp;(ROW()-4))</f>
        <v>59.091457780704218</v>
      </c>
      <c r="M21" s="43">
        <f t="array" aca="1" ref="M21" ca="1">INDIRECT("'"&amp;$B$3&amp;"'!"&amp;CHAR(64+COLUMN())&amp;(ROW()-4))</f>
        <v>66.44277699600633</v>
      </c>
      <c r="N21" s="43">
        <f t="array" aca="1" ref="N21" ca="1">INDIRECT("'"&amp;$B$3&amp;"'!"&amp;CHAR(64+COLUMN())&amp;(ROW()-4))</f>
        <v>75.233952696585362</v>
      </c>
      <c r="O21" s="43">
        <f t="array" aca="1" ref="O21" ca="1">INDIRECT("'"&amp;$B$3&amp;"'!"&amp;CHAR(64+COLUMN())&amp;(ROW()-4))</f>
        <v>1.768495950308375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422.5</v>
      </c>
      <c r="D22" s="43">
        <f t="array" aca="1" ref="D22" ca="1">INDIRECT("'"&amp;$B$3&amp;"'!"&amp;CHAR(64+COLUMN())&amp;(ROW()-4))</f>
        <v>412</v>
      </c>
      <c r="E22" s="43">
        <f t="array" aca="1" ref="E22" ca="1">INDIRECT("'"&amp;$B$3&amp;"'!"&amp;CHAR(64+COLUMN())&amp;(ROW()-4))</f>
        <v>416.5</v>
      </c>
      <c r="F22" s="43">
        <f t="array" aca="1" ref="F22" ca="1">INDIRECT("'"&amp;$B$3&amp;"'!"&amp;CHAR(64+COLUMN())&amp;(ROW()-4))</f>
        <v>3445</v>
      </c>
      <c r="G22" s="43">
        <f t="array" aca="1" ref="G22" ca="1">INDIRECT("'"&amp;$B$3&amp;"'!"&amp;CHAR(64+COLUMN())&amp;(ROW()-4))</f>
        <v>-0.35885167464114831</v>
      </c>
      <c r="H22" s="43">
        <f t="array" aca="1" ref="H22" ca="1">INDIRECT("'"&amp;$B$3&amp;"'!"&amp;CHAR(64+COLUMN())&amp;(ROW()-4))</f>
        <v>417.7</v>
      </c>
      <c r="I22" s="43">
        <f t="array" aca="1" ref="I22" ca="1">INDIRECT("'"&amp;$B$3&amp;"'!"&amp;CHAR(64+COLUMN())&amp;(ROW()-4))</f>
        <v>413.4</v>
      </c>
      <c r="J22" s="43">
        <f t="array" aca="1" ref="J22" ca="1">INDIRECT("'"&amp;$B$3&amp;"'!"&amp;CHAR(64+COLUMN())&amp;(ROW()-4))</f>
        <v>402.05</v>
      </c>
      <c r="K22" s="43">
        <f t="array" aca="1" ref="K22" ca="1">INDIRECT("'"&amp;$B$3&amp;"'!"&amp;CHAR(64+COLUMN())&amp;(ROW()-4))</f>
        <v>56.141758006048413</v>
      </c>
      <c r="L22" s="43">
        <f t="array" aca="1" ref="L22" ca="1">INDIRECT("'"&amp;$B$3&amp;"'!"&amp;CHAR(64+COLUMN())&amp;(ROW()-4))</f>
        <v>58.126898701182853</v>
      </c>
      <c r="M22" s="43">
        <f t="array" aca="1" ref="M22" ca="1">INDIRECT("'"&amp;$B$3&amp;"'!"&amp;CHAR(64+COLUMN())&amp;(ROW()-4))</f>
        <v>58.25914862796818</v>
      </c>
      <c r="N22" s="43">
        <f t="array" aca="1" ref="N22" ca="1">INDIRECT("'"&amp;$B$3&amp;"'!"&amp;CHAR(64+COLUMN())&amp;(ROW()-4))</f>
        <v>69.575684673712971</v>
      </c>
      <c r="O22" s="43">
        <f t="array" aca="1" ref="O22" ca="1">INDIRECT("'"&amp;$B$3&amp;"'!"&amp;CHAR(64+COLUMN())&amp;(ROW()-4))</f>
        <v>1.3276664225478809</v>
      </c>
      <c r="Q22" s="82" t="s">
        <v>109</v>
      </c>
      <c r="R22" s="54" t="s">
        <v>110</v>
      </c>
      <c r="S22" s="55">
        <f ca="1">IF(OR(AND(LEFT($S$15,1)="🔴",RIGHT($S$15,2)="出場"),AND($S$15="🔴 觀望",$S$12="🔴")),ROUND(MIN(H25,E25*(1+N32*0.8)),1),"—")</f>
        <v>412.9</v>
      </c>
      <c r="T22" s="55">
        <f ca="1">IF(OR(AND(LEFT($S$15,1)="🔴",RIGHT($S$15,2)="出場"),AND($S$15="🔴 觀望",$S$12="🔴")),ROUND(MAX(H25,E25*(1+N32*1.2)),1),"—")</f>
        <v>419.8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420</v>
      </c>
      <c r="D23" s="43">
        <f t="array" aca="1" ref="D23" ca="1">INDIRECT("'"&amp;$B$3&amp;"'!"&amp;CHAR(64+COLUMN())&amp;(ROW()-4))</f>
        <v>410</v>
      </c>
      <c r="E23" s="43">
        <f t="array" aca="1" ref="E23" ca="1">INDIRECT("'"&amp;$B$3&amp;"'!"&amp;CHAR(64+COLUMN())&amp;(ROW()-4))</f>
        <v>412.5</v>
      </c>
      <c r="F23" s="43">
        <f t="array" aca="1" ref="F23" ca="1">INDIRECT("'"&amp;$B$3&amp;"'!"&amp;CHAR(64+COLUMN())&amp;(ROW()-4))</f>
        <v>3363</v>
      </c>
      <c r="G23" s="43">
        <f t="array" aca="1" ref="G23" ca="1">INDIRECT("'"&amp;$B$3&amp;"'!"&amp;CHAR(64+COLUMN())&amp;(ROW()-4))</f>
        <v>-0.96038415366146457</v>
      </c>
      <c r="H23" s="43">
        <f t="array" aca="1" ref="H23" ca="1">INDIRECT("'"&amp;$B$3&amp;"'!"&amp;CHAR(64+COLUMN())&amp;(ROW()-4))</f>
        <v>417.1</v>
      </c>
      <c r="I23" s="43">
        <f t="array" aca="1" ref="I23" ca="1">INDIRECT("'"&amp;$B$3&amp;"'!"&amp;CHAR(64+COLUMN())&amp;(ROW()-4))</f>
        <v>414.8</v>
      </c>
      <c r="J23" s="43">
        <f t="array" aca="1" ref="J23" ca="1">INDIRECT("'"&amp;$B$3&amp;"'!"&amp;CHAR(64+COLUMN())&amp;(ROW()-4))</f>
        <v>402.72500000000002</v>
      </c>
      <c r="K23" s="43">
        <f t="array" aca="1" ref="K23" ca="1">INDIRECT("'"&amp;$B$3&amp;"'!"&amp;CHAR(64+COLUMN())&amp;(ROW()-4))</f>
        <v>51.3389226557331</v>
      </c>
      <c r="L23" s="43">
        <f t="array" aca="1" ref="L23" ca="1">INDIRECT("'"&amp;$B$3&amp;"'!"&amp;CHAR(64+COLUMN())&amp;(ROW()-4))</f>
        <v>55.491838531785177</v>
      </c>
      <c r="M23" s="43">
        <f t="array" aca="1" ref="M23" ca="1">INDIRECT("'"&amp;$B$3&amp;"'!"&amp;CHAR(64+COLUMN())&amp;(ROW()-4))</f>
        <v>45.610265751978787</v>
      </c>
      <c r="N23" s="43">
        <f t="array" aca="1" ref="N23" ca="1">INDIRECT("'"&amp;$B$3&amp;"'!"&amp;CHAR(64+COLUMN())&amp;(ROW()-4))</f>
        <v>61.587211699801571</v>
      </c>
      <c r="O23" s="43">
        <f t="array" aca="1" ref="O23" ca="1">INDIRECT("'"&amp;$B$3&amp;"'!"&amp;CHAR(64+COLUMN())&amp;(ROW()-4))</f>
        <v>0.65543352894212781</v>
      </c>
      <c r="Q23" s="66" t="s">
        <v>111</v>
      </c>
      <c r="R23" s="58" t="s">
        <v>112</v>
      </c>
      <c r="S23" s="59">
        <f ca="1">IF(OR(AND(LEFT($S$15,1)="🔴",RIGHT($S$15,2)="出場"),AND($S$15="🔴 觀望",$S$12="🔴")),ROUND(MIN(I25,E25*(1+N32*1.4)),1),"—")</f>
        <v>414.9</v>
      </c>
      <c r="T23" s="59">
        <f ca="1">IF(OR(AND(LEFT($S$15,1)="🔴",RIGHT($S$15,2)="出場"),AND($S$15="🔴 觀望",$S$12="🔴")),ROUND(MAX(I25,E25*(1+N32*1.8)),1),"—")</f>
        <v>425.2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416</v>
      </c>
      <c r="D24" s="43">
        <f t="array" aca="1" ref="D24" ca="1">INDIRECT("'"&amp;$B$3&amp;"'!"&amp;CHAR(64+COLUMN())&amp;(ROW()-4))</f>
        <v>406.5</v>
      </c>
      <c r="E24" s="43">
        <f t="array" aca="1" ref="E24" ca="1">INDIRECT("'"&amp;$B$3&amp;"'!"&amp;CHAR(64+COLUMN())&amp;(ROW()-4))</f>
        <v>408.5</v>
      </c>
      <c r="F24" s="43">
        <f t="array" aca="1" ref="F24" ca="1">INDIRECT("'"&amp;$B$3&amp;"'!"&amp;CHAR(64+COLUMN())&amp;(ROW()-4))</f>
        <v>2555</v>
      </c>
      <c r="G24" s="43">
        <f t="array" aca="1" ref="G24" ca="1">INDIRECT("'"&amp;$B$3&amp;"'!"&amp;CHAR(64+COLUMN())&amp;(ROW()-4))</f>
        <v>-0.96969696969696972</v>
      </c>
      <c r="H24" s="43">
        <f t="array" aca="1" ref="H24" ca="1">INDIRECT("'"&amp;$B$3&amp;"'!"&amp;CHAR(64+COLUMN())&amp;(ROW()-4))</f>
        <v>412.3</v>
      </c>
      <c r="I24" s="43">
        <f t="array" aca="1" ref="I24" ca="1">INDIRECT("'"&amp;$B$3&amp;"'!"&amp;CHAR(64+COLUMN())&amp;(ROW()-4))</f>
        <v>415.15</v>
      </c>
      <c r="J24" s="43">
        <f t="array" aca="1" ref="J24" ca="1">INDIRECT("'"&amp;$B$3&amp;"'!"&amp;CHAR(64+COLUMN())&amp;(ROW()-4))</f>
        <v>403.6</v>
      </c>
      <c r="K24" s="43">
        <f t="array" aca="1" ref="K24" ca="1">INDIRECT("'"&amp;$B$3&amp;"'!"&amp;CHAR(64+COLUMN())&amp;(ROW()-4))</f>
        <v>46.559242431088052</v>
      </c>
      <c r="L24" s="43">
        <f t="array" aca="1" ref="L24" ca="1">INDIRECT("'"&amp;$B$3&amp;"'!"&amp;CHAR(64+COLUMN())&amp;(ROW()-4))</f>
        <v>52.87686301397234</v>
      </c>
      <c r="M24" s="43">
        <f t="array" aca="1" ref="M24" ca="1">INDIRECT("'"&amp;$B$3&amp;"'!"&amp;CHAR(64+COLUMN())&amp;(ROW()-4))</f>
        <v>33.011010501319191</v>
      </c>
      <c r="N24" s="43">
        <f t="array" aca="1" ref="N24" ca="1">INDIRECT("'"&amp;$B$3&amp;"'!"&amp;CHAR(64+COLUMN())&amp;(ROW()-4))</f>
        <v>52.06181130030744</v>
      </c>
      <c r="O24" s="43">
        <f t="array" aca="1" ref="O24" ca="1">INDIRECT("'"&amp;$B$3&amp;"'!"&amp;CHAR(64+COLUMN())&amp;(ROW()-4))</f>
        <v>-0.12809281784529869</v>
      </c>
      <c r="Q24" s="84" t="s">
        <v>113</v>
      </c>
      <c r="R24" s="60" t="s">
        <v>114</v>
      </c>
      <c r="S24" s="61">
        <f ca="1">IF(OR(AND(LEFT($S$15,1)="🔴",RIGHT($S$15,2)="出場"),AND($S$15="🔴 觀望",$S$12="🔴")),ROUND(MAX(I25,E25*(1+N32*2)),1),"—")</f>
        <v>427</v>
      </c>
      <c r="T24" s="61">
        <f ca="1">IF(OR(AND(LEFT($S$15,1)="🔴",RIGHT($S$15,2)="出場"),AND($S$15="🔴 觀望",$S$12="🔴")),ROUND(E25*(1+N32*2.4),1),"—")</f>
        <v>430.5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413</v>
      </c>
      <c r="D25" s="43">
        <f t="array" aca="1" ref="D25" ca="1">INDIRECT("'"&amp;$B$3&amp;"'!"&amp;CHAR(64+COLUMN())&amp;(ROW()-4))</f>
        <v>407</v>
      </c>
      <c r="E25" s="43">
        <f t="array" aca="1" ref="E25" ca="1">INDIRECT("'"&amp;$B$3&amp;"'!"&amp;CHAR(64+COLUMN())&amp;(ROW()-4))</f>
        <v>409</v>
      </c>
      <c r="F25" s="43">
        <f t="array" aca="1" ref="F25" ca="1">INDIRECT("'"&amp;$B$3&amp;"'!"&amp;CHAR(64+COLUMN())&amp;(ROW()-4))</f>
        <v>2586</v>
      </c>
      <c r="G25" s="43">
        <f t="array" aca="1" ref="G25" ca="1">INDIRECT("'"&amp;$B$3&amp;"'!"&amp;CHAR(64+COLUMN())&amp;(ROW()-4))</f>
        <v>0.12239902080783351</v>
      </c>
      <c r="H25" s="43">
        <f t="array" aca="1" ref="H25" ca="1">INDIRECT("'"&amp;$B$3&amp;"'!"&amp;CHAR(64+COLUMN())&amp;(ROW()-4))</f>
        <v>412.9</v>
      </c>
      <c r="I25" s="43">
        <f t="array" aca="1" ref="I25" ca="1">INDIRECT("'"&amp;$B$3&amp;"'!"&amp;CHAR(64+COLUMN())&amp;(ROW()-4))</f>
        <v>414.85</v>
      </c>
      <c r="J25" s="43">
        <f t="array" aca="1" ref="J25" ca="1">INDIRECT("'"&amp;$B$3&amp;"'!"&amp;CHAR(64+COLUMN())&amp;(ROW()-4))</f>
        <v>405.07499999999999</v>
      </c>
      <c r="K25" s="43">
        <f t="array" aca="1" ref="K25" ca="1">INDIRECT("'"&amp;$B$3&amp;"'!"&amp;CHAR(64+COLUMN())&amp;(ROW()-4))</f>
        <v>47.295268096777363</v>
      </c>
      <c r="L25" s="43">
        <f t="array" aca="1" ref="L25" ca="1">INDIRECT("'"&amp;$B$3&amp;"'!"&amp;CHAR(64+COLUMN())&amp;(ROW()-4))</f>
        <v>53.177740336935763</v>
      </c>
      <c r="M25" s="43">
        <f t="array" aca="1" ref="M25" ca="1">INDIRECT("'"&amp;$B$3&amp;"'!"&amp;CHAR(64+COLUMN())&amp;(ROW()-4))</f>
        <v>25.132340334212788</v>
      </c>
      <c r="N25" s="43">
        <f t="array" aca="1" ref="N25" ca="1">INDIRECT("'"&amp;$B$3&amp;"'!"&amp;CHAR(64+COLUMN())&amp;(ROW()-4))</f>
        <v>43.085320978275888</v>
      </c>
      <c r="O25" s="43">
        <f t="array" aca="1" ref="O25" ca="1">INDIRECT("'"&amp;$B$3&amp;"'!"&amp;CHAR(64+COLUMN())&amp;(ROW()-4))</f>
        <v>-0.6528305625381563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燈號偏空→顯示賣出區間（以收盤 409.0、σ=2.20%）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6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P27" s="28"/>
      <c r="Q27" s="67" t="s">
        <v>122</v>
      </c>
      <c r="R27" s="68">
        <f ca="1">ROUND(E25*(1-N32),1)</f>
        <v>400</v>
      </c>
      <c r="S27" s="69">
        <f ca="1">ROUND((E25*(1-N32)-E25)/E25,4)</f>
        <v>-2.1999999999999999E-2</v>
      </c>
      <c r="T27" s="70" t="str">
        <f ca="1">"再跌 "&amp;TEXT(ABS((E25*(1-N32)-E25)/E25),"0.0%")&amp;" 至 "&amp;TEXT(E25*(1-N32),"0.0")&amp;" 進入積極買進區"</f>
        <v>再跌 2.2% 至 400.0 進入積極買進區</v>
      </c>
    </row>
    <row r="28" spans="1:20" ht="16" customHeight="1" x14ac:dyDescent="0.25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438</v>
      </c>
      <c r="Q28" s="75" t="s">
        <v>129</v>
      </c>
      <c r="R28" s="76">
        <f ca="1">ROUND(MAX(H25,E25*(1+N32)),1)</f>
        <v>418</v>
      </c>
      <c r="S28" s="77">
        <f ca="1">ROUND((MAX(H25,E25*(1+N32))-E25)/E25,4)</f>
        <v>2.1999999999999999E-2</v>
      </c>
      <c r="T28" s="74" t="str">
        <f ca="1">"再漲 "&amp;TEXT(ABS((MAX(H25,E25*(1+N32))-E25)/E25),"0.0%")&amp;" 至 "&amp;TEXT(MAX(H25,E25*(1+N32)),"0.0")&amp;" 進入反彈賣出區"</f>
        <v>再漲 2.2% 至 418.0 進入反彈賣出區</v>
      </c>
    </row>
    <row r="29" spans="1:20" x14ac:dyDescent="0.2">
      <c r="A29" s="1" t="s">
        <v>130</v>
      </c>
      <c r="B29" s="25">
        <v>8.65</v>
      </c>
      <c r="C29" s="25">
        <v>6.14</v>
      </c>
      <c r="D29" s="25">
        <v>6.01</v>
      </c>
      <c r="E29" s="25">
        <v>6.07</v>
      </c>
      <c r="G29" s="1" t="s">
        <v>130</v>
      </c>
      <c r="H29" s="25"/>
      <c r="I29" s="25"/>
      <c r="J29" s="25"/>
      <c r="K29" s="25"/>
      <c r="M29" s="1" t="s">
        <v>131</v>
      </c>
      <c r="N29" s="4">
        <f ca="1">MIN(D6:D25)</f>
        <v>379</v>
      </c>
      <c r="Q29" s="27"/>
      <c r="R29" s="27"/>
      <c r="S29" s="27"/>
    </row>
    <row r="30" spans="1:20" ht="16" customHeight="1" x14ac:dyDescent="0.2">
      <c r="A30" s="1" t="s">
        <v>132</v>
      </c>
      <c r="B30" s="107">
        <f>SUM(B29:E29)</f>
        <v>26.869999999999997</v>
      </c>
      <c r="C30" s="106"/>
      <c r="D30" s="106"/>
      <c r="E30" s="106"/>
      <c r="G30" s="1" t="s">
        <v>132</v>
      </c>
      <c r="H30" s="106"/>
      <c r="I30" s="106"/>
      <c r="J30" s="106"/>
      <c r="K30" s="106"/>
      <c r="M30" s="1" t="s">
        <v>133</v>
      </c>
      <c r="N30" s="4">
        <f ca="1">AVERAGE(E6:E25)</f>
        <v>405.07499999999999</v>
      </c>
      <c r="Q30" s="27"/>
      <c r="R30" s="27"/>
      <c r="S30" s="27"/>
    </row>
    <row r="31" spans="1:20" x14ac:dyDescent="0.2">
      <c r="A31" s="9" t="s">
        <v>134</v>
      </c>
      <c r="B31" s="9" t="s">
        <v>95</v>
      </c>
      <c r="C31" s="10">
        <v>-0.29020000000000001</v>
      </c>
      <c r="D31" s="10">
        <v>-2.12E-2</v>
      </c>
      <c r="E31" s="11">
        <v>1E-3</v>
      </c>
      <c r="G31" s="9" t="s">
        <v>134</v>
      </c>
      <c r="H31" s="9" t="s">
        <v>95</v>
      </c>
      <c r="M31" s="1" t="s">
        <v>158</v>
      </c>
      <c r="N31" s="6">
        <f ca="1">(E25-E6)/E6</f>
        <v>4.4699872286079183E-2</v>
      </c>
      <c r="Q31" s="27"/>
      <c r="R31" s="27"/>
      <c r="S31" s="27"/>
    </row>
    <row r="32" spans="1:20" ht="17" customHeight="1" x14ac:dyDescent="0.2">
      <c r="M32" s="1" t="s">
        <v>137</v>
      </c>
      <c r="N32" s="23">
        <f ca="1">STDEV(G7:G25)/100</f>
        <v>2.1952181473285367E-2</v>
      </c>
      <c r="P32" s="28"/>
      <c r="Q32" s="41"/>
      <c r="R32" s="41"/>
      <c r="S32" s="42"/>
    </row>
    <row r="33" spans="1:17" ht="17" customHeight="1" x14ac:dyDescent="0.2">
      <c r="A33" s="115" t="s">
        <v>184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409</v>
      </c>
    </row>
    <row r="34" spans="1:17" x14ac:dyDescent="0.2">
      <c r="A34" t="s">
        <v>141</v>
      </c>
      <c r="B34" s="33">
        <v>28</v>
      </c>
      <c r="H34" s="13" t="s">
        <v>142</v>
      </c>
      <c r="I34" s="13" t="s">
        <v>143</v>
      </c>
      <c r="J34" s="13" t="s">
        <v>144</v>
      </c>
    </row>
    <row r="35" spans="1:17" ht="17" customHeight="1" x14ac:dyDescent="0.25">
      <c r="A35" s="40" t="s">
        <v>145</v>
      </c>
      <c r="B35" s="3">
        <v>111.32</v>
      </c>
      <c r="G35" t="s">
        <v>146</v>
      </c>
      <c r="H35" s="27">
        <f>B36*B30</f>
        <v>322.43999999999994</v>
      </c>
      <c r="I35" s="27">
        <f>C36*B30</f>
        <v>483.65999999999997</v>
      </c>
      <c r="J35" s="27">
        <f>D36*B30</f>
        <v>671.74999999999989</v>
      </c>
      <c r="P35" s="1"/>
      <c r="Q35" s="30"/>
    </row>
    <row r="36" spans="1:17" ht="17" customHeight="1" x14ac:dyDescent="0.2">
      <c r="A36" t="s">
        <v>147</v>
      </c>
      <c r="B36" s="34">
        <v>12</v>
      </c>
      <c r="C36" s="34">
        <v>18</v>
      </c>
      <c r="D36" s="34">
        <v>25</v>
      </c>
      <c r="G36" t="s">
        <v>148</v>
      </c>
      <c r="H36" s="27">
        <f>B37*B35</f>
        <v>278.29999999999995</v>
      </c>
      <c r="I36" s="27">
        <f>C37*B35</f>
        <v>417.45</v>
      </c>
      <c r="J36" s="27">
        <f>D37*B35</f>
        <v>612.26</v>
      </c>
      <c r="P36" s="31"/>
      <c r="Q36" s="32"/>
    </row>
    <row r="37" spans="1:17" ht="17" customHeight="1" x14ac:dyDescent="0.2">
      <c r="A37" t="s">
        <v>149</v>
      </c>
      <c r="B37" s="35">
        <v>2.5</v>
      </c>
      <c r="C37" s="35">
        <v>3.75</v>
      </c>
      <c r="D37" s="35">
        <v>5.5</v>
      </c>
      <c r="G37" t="s">
        <v>150</v>
      </c>
      <c r="H37" s="27">
        <f>B34/B38</f>
        <v>329.41176470588232</v>
      </c>
      <c r="I37" s="27">
        <f>B34/C38</f>
        <v>430.76923076923077</v>
      </c>
      <c r="J37" s="27">
        <f>B34/D38</f>
        <v>560</v>
      </c>
      <c r="P37" s="12"/>
    </row>
    <row r="38" spans="1:17" ht="17" customHeight="1" x14ac:dyDescent="0.25">
      <c r="A38" s="40" t="s">
        <v>151</v>
      </c>
      <c r="B38" s="36">
        <v>8.5000000000000006E-2</v>
      </c>
      <c r="C38" s="36">
        <v>6.5000000000000002E-2</v>
      </c>
      <c r="D38" s="36">
        <v>0.05</v>
      </c>
      <c r="G38" s="29" t="s">
        <v>152</v>
      </c>
      <c r="H38" s="38">
        <f>AVERAGE(H35,H36,H37)</f>
        <v>310.05058823529407</v>
      </c>
      <c r="I38" s="38">
        <f>AVERAGE(I35,I36,I37)</f>
        <v>443.95974358974354</v>
      </c>
      <c r="J38" s="39">
        <f>AVERAGE(J35,J36,J37)</f>
        <v>614.66999999999996</v>
      </c>
    </row>
  </sheetData>
  <mergeCells count="7">
    <mergeCell ref="A1:G1"/>
    <mergeCell ref="H30:K30"/>
    <mergeCell ref="B30:E30"/>
    <mergeCell ref="A33:E33"/>
    <mergeCell ref="G27:K27"/>
    <mergeCell ref="G33:J33"/>
    <mergeCell ref="A27:E27"/>
  </mergeCells>
  <phoneticPr fontId="1" type="noConversion"/>
  <conditionalFormatting sqref="G6:G25">
    <cfRule type="cellIs" dxfId="7" priority="1" operator="lessThan">
      <formula>0</formula>
    </cfRule>
  </conditionalFormatting>
  <conditionalFormatting sqref="O6:O25">
    <cfRule type="cellIs" dxfId="6" priority="2" operator="lessThan">
      <formula>0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39"/>
  <sheetViews>
    <sheetView workbookViewId="0">
      <pane ySplit="5" topLeftCell="A17" activePane="bottomLeft" state="frozen"/>
      <selection activeCell="H18" sqref="H18"/>
      <selection pane="bottomLeft" activeCell="H18" sqref="H18"/>
    </sheetView>
  </sheetViews>
  <sheetFormatPr baseColWidth="10" defaultRowHeight="15" x14ac:dyDescent="0.2"/>
  <cols>
    <col min="1" max="1" width="11.1640625" bestFit="1" customWidth="1"/>
    <col min="2" max="2" width="15.83203125" bestFit="1" customWidth="1"/>
    <col min="3" max="5" width="9" bestFit="1" customWidth="1"/>
    <col min="6" max="6" width="10.33203125" bestFit="1" customWidth="1"/>
    <col min="7" max="7" width="10" bestFit="1" customWidth="1"/>
    <col min="8" max="10" width="9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8.5" bestFit="1" customWidth="1"/>
    <col min="15" max="15" width="10.5" bestFit="1" customWidth="1"/>
    <col min="16" max="16" width="9.1640625" customWidth="1"/>
    <col min="17" max="17" width="14.1640625" bestFit="1" customWidth="1"/>
    <col min="18" max="18" width="40.83203125" bestFit="1" customWidth="1"/>
    <col min="19" max="19" width="10.33203125" bestFit="1" customWidth="1"/>
    <col min="20" max="20" width="55.83203125" bestFit="1" customWidth="1"/>
  </cols>
  <sheetData>
    <row r="1" spans="1:20" ht="19" customHeight="1" x14ac:dyDescent="0.25">
      <c r="A1" s="105" t="s">
        <v>185</v>
      </c>
      <c r="B1" s="106"/>
      <c r="C1" s="106"/>
      <c r="D1" s="106"/>
      <c r="E1" s="106"/>
      <c r="F1" s="106"/>
      <c r="G1" s="106"/>
    </row>
    <row r="2" spans="1:20" x14ac:dyDescent="0.2">
      <c r="A2" s="1" t="s">
        <v>69</v>
      </c>
      <c r="B2" t="s">
        <v>12</v>
      </c>
    </row>
    <row r="3" spans="1:20" x14ac:dyDescent="0.2">
      <c r="A3" s="1" t="s">
        <v>2</v>
      </c>
      <c r="B3" s="2">
        <v>2330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1855</v>
      </c>
      <c r="D6" s="43">
        <f t="array" aca="1" ref="D6" ca="1">INDIRECT("'"&amp;$B$3&amp;"'!"&amp;CHAR(64+COLUMN())&amp;(ROW()-4))</f>
        <v>1830</v>
      </c>
      <c r="E6" s="43">
        <f t="array" aca="1" ref="E6" ca="1">INDIRECT("'"&amp;$B$3&amp;"'!"&amp;CHAR(64+COLUMN())&amp;(ROW()-4))</f>
        <v>1855</v>
      </c>
      <c r="F6" s="43">
        <f t="array" aca="1" ref="F6" ca="1">INDIRECT("'"&amp;$B$3&amp;"'!"&amp;CHAR(64+COLUMN())&amp;(ROW()-4))</f>
        <v>46457</v>
      </c>
      <c r="G6" s="43">
        <f t="array" aca="1" ref="G6" ca="1">INDIRECT("'"&amp;$B$3&amp;"'!"&amp;CHAR(64+COLUMN())&amp;(ROW()-4))</f>
        <v>5.3977272727272716</v>
      </c>
      <c r="H6" s="43">
        <f t="array" aca="1" ref="H6" ca="1">INDIRECT("'"&amp;$B$3&amp;"'!"&amp;CHAR(64+COLUMN())&amp;(ROW()-4))</f>
        <v>1811</v>
      </c>
      <c r="I6" s="43">
        <f t="array" aca="1" ref="I6" ca="1">INDIRECT("'"&amp;$B$3&amp;"'!"&amp;CHAR(64+COLUMN())&amp;(ROW()-4))</f>
        <v>1821</v>
      </c>
      <c r="J6" s="43">
        <f t="array" aca="1" ref="J6" ca="1">INDIRECT("'"&amp;$B$3&amp;"'!"&amp;CHAR(64+COLUMN())&amp;(ROW()-4))</f>
        <v>1848.5</v>
      </c>
      <c r="K6" s="43">
        <f t="array" aca="1" ref="K6" ca="1">INDIRECT("'"&amp;$B$3&amp;"'!"&amp;CHAR(64+COLUMN())&amp;(ROW()-4))</f>
        <v>57.472792322081709</v>
      </c>
      <c r="L6" s="43">
        <f t="array" aca="1" ref="L6" ca="1">INDIRECT("'"&amp;$B$3&amp;"'!"&amp;CHAR(64+COLUMN())&amp;(ROW()-4))</f>
        <v>52.241501469878223</v>
      </c>
      <c r="M6" s="43">
        <f t="array" aca="1" ref="M6" ca="1">INDIRECT("'"&amp;$B$3&amp;"'!"&amp;CHAR(64+COLUMN())&amp;(ROW()-4))</f>
        <v>37.630243338581757</v>
      </c>
      <c r="N6" s="43">
        <f t="array" aca="1" ref="N6" ca="1">INDIRECT("'"&amp;$B$3&amp;"'!"&amp;CHAR(64+COLUMN())&amp;(ROW()-4))</f>
        <v>29.70102756092454</v>
      </c>
      <c r="O6" s="43">
        <f t="array" aca="1" ref="O6" ca="1">INDIRECT("'"&amp;$B$3&amp;"'!"&amp;CHAR(64+COLUMN())&amp;(ROW()-4))</f>
        <v>-9.9549279134001623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1865</v>
      </c>
      <c r="D7" s="43">
        <f t="array" aca="1" ref="D7" ca="1">INDIRECT("'"&amp;$B$3&amp;"'!"&amp;CHAR(64+COLUMN())&amp;(ROW()-4))</f>
        <v>1805</v>
      </c>
      <c r="E7" s="43">
        <f t="array" aca="1" ref="E7" ca="1">INDIRECT("'"&amp;$B$3&amp;"'!"&amp;CHAR(64+COLUMN())&amp;(ROW()-4))</f>
        <v>1810</v>
      </c>
      <c r="F7" s="43">
        <f t="array" aca="1" ref="F7" ca="1">INDIRECT("'"&amp;$B$3&amp;"'!"&amp;CHAR(64+COLUMN())&amp;(ROW()-4))</f>
        <v>29332</v>
      </c>
      <c r="G7" s="43">
        <f t="array" aca="1" ref="G7" ca="1">INDIRECT("'"&amp;$B$3&amp;"'!"&amp;CHAR(64+COLUMN())&amp;(ROW()-4))</f>
        <v>-2.4258760107816708</v>
      </c>
      <c r="H7" s="43">
        <f t="array" aca="1" ref="H7" ca="1">INDIRECT("'"&amp;$B$3&amp;"'!"&amp;CHAR(64+COLUMN())&amp;(ROW()-4))</f>
        <v>1805</v>
      </c>
      <c r="I7" s="43">
        <f t="array" aca="1" ref="I7" ca="1">INDIRECT("'"&amp;$B$3&amp;"'!"&amp;CHAR(64+COLUMN())&amp;(ROW()-4))</f>
        <v>1817</v>
      </c>
      <c r="J7" s="43">
        <f t="array" aca="1" ref="J7" ca="1">INDIRECT("'"&amp;$B$3&amp;"'!"&amp;CHAR(64+COLUMN())&amp;(ROW()-4))</f>
        <v>1844</v>
      </c>
      <c r="K7" s="43">
        <f t="array" aca="1" ref="K7" ca="1">INDIRECT("'"&amp;$B$3&amp;"'!"&amp;CHAR(64+COLUMN())&amp;(ROW()-4))</f>
        <v>46.368923825782431</v>
      </c>
      <c r="L7" s="43">
        <f t="array" aca="1" ref="L7" ca="1">INDIRECT("'"&amp;$B$3&amp;"'!"&amp;CHAR(64+COLUMN())&amp;(ROW()-4))</f>
        <v>46.781846969922853</v>
      </c>
      <c r="M7" s="43">
        <f t="array" aca="1" ref="M7" ca="1">INDIRECT("'"&amp;$B$3&amp;"'!"&amp;CHAR(64+COLUMN())&amp;(ROW()-4))</f>
        <v>39.579582515576249</v>
      </c>
      <c r="N7" s="43">
        <f t="array" aca="1" ref="N7" ca="1">INDIRECT("'"&amp;$B$3&amp;"'!"&amp;CHAR(64+COLUMN())&amp;(ROW()-4))</f>
        <v>32.993879212475107</v>
      </c>
      <c r="O7" s="43">
        <f t="array" aca="1" ref="O7" ca="1">INDIRECT("'"&amp;$B$3&amp;"'!"&amp;CHAR(64+COLUMN())&amp;(ROW()-4))</f>
        <v>-8.7298207928470966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1860</v>
      </c>
      <c r="D8" s="43">
        <f t="array" aca="1" ref="D8" ca="1">INDIRECT("'"&amp;$B$3&amp;"'!"&amp;CHAR(64+COLUMN())&amp;(ROW()-4))</f>
        <v>1835</v>
      </c>
      <c r="E8" s="43">
        <f t="array" aca="1" ref="E8" ca="1">INDIRECT("'"&amp;$B$3&amp;"'!"&amp;CHAR(64+COLUMN())&amp;(ROW()-4))</f>
        <v>1860</v>
      </c>
      <c r="F8" s="43">
        <f t="array" aca="1" ref="F8" ca="1">INDIRECT("'"&amp;$B$3&amp;"'!"&amp;CHAR(64+COLUMN())&amp;(ROW()-4))</f>
        <v>19895</v>
      </c>
      <c r="G8" s="43">
        <f t="array" aca="1" ref="G8" ca="1">INDIRECT("'"&amp;$B$3&amp;"'!"&amp;CHAR(64+COLUMN())&amp;(ROW()-4))</f>
        <v>2.7624309392265189</v>
      </c>
      <c r="H8" s="43">
        <f t="array" aca="1" ref="H8" ca="1">INDIRECT("'"&amp;$B$3&amp;"'!"&amp;CHAR(64+COLUMN())&amp;(ROW()-4))</f>
        <v>1813</v>
      </c>
      <c r="I8" s="43">
        <f t="array" aca="1" ref="I8" ca="1">INDIRECT("'"&amp;$B$3&amp;"'!"&amp;CHAR(64+COLUMN())&amp;(ROW()-4))</f>
        <v>1819</v>
      </c>
      <c r="J8" s="43">
        <f t="array" aca="1" ref="J8" ca="1">INDIRECT("'"&amp;$B$3&amp;"'!"&amp;CHAR(64+COLUMN())&amp;(ROW()-4))</f>
        <v>1842.5</v>
      </c>
      <c r="K8" s="43">
        <f t="array" aca="1" ref="K8" ca="1">INDIRECT("'"&amp;$B$3&amp;"'!"&amp;CHAR(64+COLUMN())&amp;(ROW()-4))</f>
        <v>57.354522514187977</v>
      </c>
      <c r="L8" s="43">
        <f t="array" aca="1" ref="L8" ca="1">INDIRECT("'"&amp;$B$3&amp;"'!"&amp;CHAR(64+COLUMN())&amp;(ROW()-4))</f>
        <v>52.765359143436562</v>
      </c>
      <c r="M8" s="43">
        <f t="array" aca="1" ref="M8" ca="1">INDIRECT("'"&amp;$B$3&amp;"'!"&amp;CHAR(64+COLUMN())&amp;(ROW()-4))</f>
        <v>55.371895590094312</v>
      </c>
      <c r="N8" s="43">
        <f t="array" aca="1" ref="N8" ca="1">INDIRECT("'"&amp;$B$3&amp;"'!"&amp;CHAR(64+COLUMN())&amp;(ROW()-4))</f>
        <v>40.45321800501484</v>
      </c>
      <c r="O8" s="43">
        <f t="array" aca="1" ref="O8" ca="1">INDIRECT("'"&amp;$B$3&amp;"'!"&amp;CHAR(64+COLUMN())&amp;(ROW()-4))</f>
        <v>-4.3169787291734476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MA10=2121.5  MA20=2042.8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1950</v>
      </c>
      <c r="D9" s="43">
        <f t="array" aca="1" ref="D9" ca="1">INDIRECT("'"&amp;$B$3&amp;"'!"&amp;CHAR(64+COLUMN())&amp;(ROW()-4))</f>
        <v>1925</v>
      </c>
      <c r="E9" s="43">
        <f t="array" aca="1" ref="E9" ca="1">INDIRECT("'"&amp;$B$3&amp;"'!"&amp;CHAR(64+COLUMN())&amp;(ROW()-4))</f>
        <v>1950</v>
      </c>
      <c r="F9" s="43">
        <f t="array" aca="1" ref="F9" ca="1">INDIRECT("'"&amp;$B$3&amp;"'!"&amp;CHAR(64+COLUMN())&amp;(ROW()-4))</f>
        <v>53813</v>
      </c>
      <c r="G9" s="43">
        <f t="array" aca="1" ref="G9" ca="1">INDIRECT("'"&amp;$B$3&amp;"'!"&amp;CHAR(64+COLUMN())&amp;(ROW()-4))</f>
        <v>4.838709677419355</v>
      </c>
      <c r="H9" s="43">
        <f t="array" aca="1" ref="H9" ca="1">INDIRECT("'"&amp;$B$3&amp;"'!"&amp;CHAR(64+COLUMN())&amp;(ROW()-4))</f>
        <v>1847</v>
      </c>
      <c r="I9" s="43">
        <f t="array" aca="1" ref="I9" ca="1">INDIRECT("'"&amp;$B$3&amp;"'!"&amp;CHAR(64+COLUMN())&amp;(ROW()-4))</f>
        <v>1833</v>
      </c>
      <c r="J9" s="43">
        <f t="array" aca="1" ref="J9" ca="1">INDIRECT("'"&amp;$B$3&amp;"'!"&amp;CHAR(64+COLUMN())&amp;(ROW()-4))</f>
        <v>1849.5</v>
      </c>
      <c r="K9" s="43">
        <f t="array" aca="1" ref="K9" ca="1">INDIRECT("'"&amp;$B$3&amp;"'!"&amp;CHAR(64+COLUMN())&amp;(ROW()-4))</f>
        <v>70.435318537410765</v>
      </c>
      <c r="L9" s="43">
        <f t="array" aca="1" ref="L9" ca="1">INDIRECT("'"&amp;$B$3&amp;"'!"&amp;CHAR(64+COLUMN())&amp;(ROW()-4))</f>
        <v>61.307782119264608</v>
      </c>
      <c r="M9" s="43">
        <f t="array" aca="1" ref="M9" ca="1">INDIRECT("'"&amp;$B$3&amp;"'!"&amp;CHAR(64+COLUMN())&amp;(ROW()-4))</f>
        <v>70.247930393396203</v>
      </c>
      <c r="N9" s="43">
        <f t="array" aca="1" ref="N9" ca="1">INDIRECT("'"&amp;$B$3&amp;"'!"&amp;CHAR(64+COLUMN())&amp;(ROW()-4))</f>
        <v>50.384788801141958</v>
      </c>
      <c r="O9" s="43">
        <f t="array" aca="1" ref="O9" ca="1">INDIRECT("'"&amp;$B$3&amp;"'!"&amp;CHAR(64+COLUMN())&amp;(ROW()-4))</f>
        <v>4.4250911877715291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🟡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MA金叉:✓  KD金叉:✗(K=56)  RSI6:53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1955</v>
      </c>
      <c r="D10" s="43">
        <f t="array" aca="1" ref="D10" ca="1">INDIRECT("'"&amp;$B$3&amp;"'!"&amp;CHAR(64+COLUMN())&amp;(ROW()-4))</f>
        <v>1930</v>
      </c>
      <c r="E10" s="43">
        <f t="array" aca="1" ref="E10" ca="1">INDIRECT("'"&amp;$B$3&amp;"'!"&amp;CHAR(64+COLUMN())&amp;(ROW()-4))</f>
        <v>1955</v>
      </c>
      <c r="F10" s="43">
        <f t="array" aca="1" ref="F10" ca="1">INDIRECT("'"&amp;$B$3&amp;"'!"&amp;CHAR(64+COLUMN())&amp;(ROW()-4))</f>
        <v>36054</v>
      </c>
      <c r="G10" s="43">
        <f t="array" aca="1" ref="G10" ca="1">INDIRECT("'"&amp;$B$3&amp;"'!"&amp;CHAR(64+COLUMN())&amp;(ROW()-4))</f>
        <v>0.25641025641025639</v>
      </c>
      <c r="H10" s="43">
        <f t="array" aca="1" ref="H10" ca="1">INDIRECT("'"&amp;$B$3&amp;"'!"&amp;CHAR(64+COLUMN())&amp;(ROW()-4))</f>
        <v>1886</v>
      </c>
      <c r="I10" s="43">
        <f t="array" aca="1" ref="I10" ca="1">INDIRECT("'"&amp;$B$3&amp;"'!"&amp;CHAR(64+COLUMN())&amp;(ROW()-4))</f>
        <v>1847.5</v>
      </c>
      <c r="J10" s="43">
        <f t="array" aca="1" ref="J10" ca="1">INDIRECT("'"&amp;$B$3&amp;"'!"&amp;CHAR(64+COLUMN())&amp;(ROW()-4))</f>
        <v>1854.75</v>
      </c>
      <c r="K10" s="43">
        <f t="array" aca="1" ref="K10" ca="1">INDIRECT("'"&amp;$B$3&amp;"'!"&amp;CHAR(64+COLUMN())&amp;(ROW()-4))</f>
        <v>71.027768771879778</v>
      </c>
      <c r="L10" s="43">
        <f t="array" aca="1" ref="L10" ca="1">INDIRECT("'"&amp;$B$3&amp;"'!"&amp;CHAR(64+COLUMN())&amp;(ROW()-4))</f>
        <v>61.727276242002432</v>
      </c>
      <c r="M10" s="43">
        <f t="array" aca="1" ref="M10" ca="1">INDIRECT("'"&amp;$B$3&amp;"'!"&amp;CHAR(64+COLUMN())&amp;(ROW()-4))</f>
        <v>80.165286928930797</v>
      </c>
      <c r="N10" s="43">
        <f t="array" aca="1" ref="N10" ca="1">INDIRECT("'"&amp;$B$3&amp;"'!"&amp;CHAR(64+COLUMN())&amp;(ROW()-4))</f>
        <v>60.311621510404898</v>
      </c>
      <c r="O10" s="43">
        <f t="array" aca="1" ref="O10" ca="1">INDIRECT("'"&amp;$B$3&amp;"'!"&amp;CHAR(64+COLUMN())&amp;(ROW()-4))</f>
        <v>9.987776399011933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🟡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今量=59,584  5日均=58,714  比值=1.01x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2000</v>
      </c>
      <c r="D11" s="43">
        <f t="array" aca="1" ref="D11" ca="1">INDIRECT("'"&amp;$B$3&amp;"'!"&amp;CHAR(64+COLUMN())&amp;(ROW()-4))</f>
        <v>1970</v>
      </c>
      <c r="E11" s="43">
        <f t="array" aca="1" ref="E11" ca="1">INDIRECT("'"&amp;$B$3&amp;"'!"&amp;CHAR(64+COLUMN())&amp;(ROW()-4))</f>
        <v>2000</v>
      </c>
      <c r="F11" s="43">
        <f t="array" aca="1" ref="F11" ca="1">INDIRECT("'"&amp;$B$3&amp;"'!"&amp;CHAR(64+COLUMN())&amp;(ROW()-4))</f>
        <v>39096</v>
      </c>
      <c r="G11" s="43">
        <f t="array" aca="1" ref="G11" ca="1">INDIRECT("'"&amp;$B$3&amp;"'!"&amp;CHAR(64+COLUMN())&amp;(ROW()-4))</f>
        <v>2.3017902813299229</v>
      </c>
      <c r="H11" s="43">
        <f t="array" aca="1" ref="H11" ca="1">INDIRECT("'"&amp;$B$3&amp;"'!"&amp;CHAR(64+COLUMN())&amp;(ROW()-4))</f>
        <v>1915</v>
      </c>
      <c r="I11" s="43">
        <f t="array" aca="1" ref="I11" ca="1">INDIRECT("'"&amp;$B$3&amp;"'!"&amp;CHAR(64+COLUMN())&amp;(ROW()-4))</f>
        <v>1863</v>
      </c>
      <c r="J11" s="43">
        <f t="array" aca="1" ref="J11" ca="1">INDIRECT("'"&amp;$B$3&amp;"'!"&amp;CHAR(64+COLUMN())&amp;(ROW()-4))</f>
        <v>1857.75</v>
      </c>
      <c r="K11" s="43">
        <f t="array" aca="1" ref="K11" ca="1">INDIRECT("'"&amp;$B$3&amp;"'!"&amp;CHAR(64+COLUMN())&amp;(ROW()-4))</f>
        <v>76.182427552985743</v>
      </c>
      <c r="L11" s="43">
        <f t="array" aca="1" ref="L11" ca="1">INDIRECT("'"&amp;$B$3&amp;"'!"&amp;CHAR(64+COLUMN())&amp;(ROW()-4))</f>
        <v>65.409346669518285</v>
      </c>
      <c r="M11" s="43">
        <f t="array" aca="1" ref="M11" ca="1">INDIRECT("'"&amp;$B$3&amp;"'!"&amp;CHAR(64+COLUMN())&amp;(ROW()-4))</f>
        <v>86.776857952620531</v>
      </c>
      <c r="N11" s="43">
        <f t="array" aca="1" ref="N11" ca="1">INDIRECT("'"&amp;$B$3&amp;"'!"&amp;CHAR(64+COLUMN())&amp;(ROW()-4))</f>
        <v>69.133366991143447</v>
      </c>
      <c r="O11" s="43">
        <f t="array" aca="1" ref="O11" ca="1">INDIRECT("'"&amp;$B$3&amp;"'!"&amp;CHAR(64+COLUMN())&amp;(ROW()-4))</f>
        <v>15.79602211093321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MA10=2121.5  中 -5%=2028.3  鬆 MA20=2042.8  (σ=2.4%)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1995</v>
      </c>
      <c r="D12" s="43">
        <f t="array" aca="1" ref="D12" ca="1">INDIRECT("'"&amp;$B$3&amp;"'!"&amp;CHAR(64+COLUMN())&amp;(ROW()-4))</f>
        <v>1975</v>
      </c>
      <c r="E12" s="43">
        <f t="array" aca="1" ref="E12" ca="1">INDIRECT("'"&amp;$B$3&amp;"'!"&amp;CHAR(64+COLUMN())&amp;(ROW()-4))</f>
        <v>1990</v>
      </c>
      <c r="F12" s="43">
        <f t="array" aca="1" ref="F12" ca="1">INDIRECT("'"&amp;$B$3&amp;"'!"&amp;CHAR(64+COLUMN())&amp;(ROW()-4))</f>
        <v>31882</v>
      </c>
      <c r="G12" s="43">
        <f t="array" aca="1" ref="G12" ca="1">INDIRECT("'"&amp;$B$3&amp;"'!"&amp;CHAR(64+COLUMN())&amp;(ROW()-4))</f>
        <v>-0.5</v>
      </c>
      <c r="H12" s="43">
        <f t="array" aca="1" ref="H12" ca="1">INDIRECT("'"&amp;$B$3&amp;"'!"&amp;CHAR(64+COLUMN())&amp;(ROW()-4))</f>
        <v>1951</v>
      </c>
      <c r="I12" s="43">
        <f t="array" aca="1" ref="I12" ca="1">INDIRECT("'"&amp;$B$3&amp;"'!"&amp;CHAR(64+COLUMN())&amp;(ROW()-4))</f>
        <v>1878</v>
      </c>
      <c r="J12" s="43">
        <f t="array" aca="1" ref="J12" ca="1">INDIRECT("'"&amp;$B$3&amp;"'!"&amp;CHAR(64+COLUMN())&amp;(ROW()-4))</f>
        <v>1863</v>
      </c>
      <c r="K12" s="43">
        <f t="array" aca="1" ref="K12" ca="1">INDIRECT("'"&amp;$B$3&amp;"'!"&amp;CHAR(64+COLUMN())&amp;(ROW()-4))</f>
        <v>72.731701678982063</v>
      </c>
      <c r="L12" s="43">
        <f t="array" aca="1" ref="L12" ca="1">INDIRECT("'"&amp;$B$3&amp;"'!"&amp;CHAR(64+COLUMN())&amp;(ROW()-4))</f>
        <v>63.918592708512527</v>
      </c>
      <c r="M12" s="43">
        <f t="array" aca="1" ref="M12" ca="1">INDIRECT("'"&amp;$B$3&amp;"'!"&amp;CHAR(64+COLUMN())&amp;(ROW()-4))</f>
        <v>89.795683079524792</v>
      </c>
      <c r="N12" s="43">
        <f t="array" aca="1" ref="N12" ca="1">INDIRECT("'"&amp;$B$3&amp;"'!"&amp;CHAR(64+COLUMN())&amp;(ROW()-4))</f>
        <v>76.020805687270553</v>
      </c>
      <c r="O12" s="43">
        <f t="array" aca="1" ref="O12" ca="1">INDIRECT("'"&amp;$B$3&amp;"'!"&amp;CHAR(64+COLUMN())&amp;(ROW()-4))</f>
        <v>17.90772870992468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🔴</v>
      </c>
      <c r="T12" t="str">
        <f ca="1">"收盤="&amp;TEXT(E25,"0.0")&amp;"  MA5="&amp;TEXT(H25,"0.0")&amp;IF(E25&gt;H25,"  守穩",IF(AND(E25&lt;H25,E24&lt;H24),"  連2日跌破","  單日跌破(警示)"))</f>
        <v>收盤=2135.0  MA5=2196.0  連2日跌破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2055</v>
      </c>
      <c r="D13" s="43">
        <f t="array" aca="1" ref="D13" ca="1">INDIRECT("'"&amp;$B$3&amp;"'!"&amp;CHAR(64+COLUMN())&amp;(ROW()-4))</f>
        <v>2010</v>
      </c>
      <c r="E13" s="43">
        <f t="array" aca="1" ref="E13" ca="1">INDIRECT("'"&amp;$B$3&amp;"'!"&amp;CHAR(64+COLUMN())&amp;(ROW()-4))</f>
        <v>2055</v>
      </c>
      <c r="F13" s="43">
        <f t="array" aca="1" ref="F13" ca="1">INDIRECT("'"&amp;$B$3&amp;"'!"&amp;CHAR(64+COLUMN())&amp;(ROW()-4))</f>
        <v>46188</v>
      </c>
      <c r="G13" s="43">
        <f t="array" aca="1" ref="G13" ca="1">INDIRECT("'"&amp;$B$3&amp;"'!"&amp;CHAR(64+COLUMN())&amp;(ROW()-4))</f>
        <v>3.266331658291457</v>
      </c>
      <c r="H13" s="43">
        <f t="array" aca="1" ref="H13" ca="1">INDIRECT("'"&amp;$B$3&amp;"'!"&amp;CHAR(64+COLUMN())&amp;(ROW()-4))</f>
        <v>1990</v>
      </c>
      <c r="I13" s="43">
        <f t="array" aca="1" ref="I13" ca="1">INDIRECT("'"&amp;$B$3&amp;"'!"&amp;CHAR(64+COLUMN())&amp;(ROW()-4))</f>
        <v>1901.5</v>
      </c>
      <c r="J13" s="43">
        <f t="array" aca="1" ref="J13" ca="1">INDIRECT("'"&amp;$B$3&amp;"'!"&amp;CHAR(64+COLUMN())&amp;(ROW()-4))</f>
        <v>1872.5</v>
      </c>
      <c r="K13" s="43">
        <f t="array" aca="1" ref="K13" ca="1">INDIRECT("'"&amp;$B$3&amp;"'!"&amp;CHAR(64+COLUMN())&amp;(ROW()-4))</f>
        <v>79.850594962293144</v>
      </c>
      <c r="L13" s="43">
        <f t="array" aca="1" ref="L13" ca="1">INDIRECT("'"&amp;$B$3&amp;"'!"&amp;CHAR(64+COLUMN())&amp;(ROW()-4))</f>
        <v>68.93844831832719</v>
      </c>
      <c r="M13" s="43">
        <f t="array" aca="1" ref="M13" ca="1">INDIRECT("'"&amp;$B$3&amp;"'!"&amp;CHAR(64+COLUMN())&amp;(ROW()-4))</f>
        <v>93.197122053016528</v>
      </c>
      <c r="N13" s="43">
        <f t="array" aca="1" ref="N13" ca="1">INDIRECT("'"&amp;$B$3&amp;"'!"&amp;CHAR(64+COLUMN())&amp;(ROW()-4))</f>
        <v>81.746244475852535</v>
      </c>
      <c r="O13" s="43">
        <f t="array" aca="1" ref="O13" ca="1">INDIRECT("'"&amp;$B$3&amp;"'!"&amp;CHAR(64+COLUMN())&amp;(ROW()-4))</f>
        <v>22.337326507679819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🟢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2100</v>
      </c>
      <c r="D14" s="43">
        <f t="array" aca="1" ref="D14" ca="1">INDIRECT("'"&amp;$B$3&amp;"'!"&amp;CHAR(64+COLUMN())&amp;(ROW()-4))</f>
        <v>2060</v>
      </c>
      <c r="E14" s="43">
        <f t="array" aca="1" ref="E14" ca="1">INDIRECT("'"&amp;$B$3&amp;"'!"&amp;CHAR(64+COLUMN())&amp;(ROW()-4))</f>
        <v>2080</v>
      </c>
      <c r="F14" s="43">
        <f t="array" aca="1" ref="F14" ca="1">INDIRECT("'"&amp;$B$3&amp;"'!"&amp;CHAR(64+COLUMN())&amp;(ROW()-4))</f>
        <v>46824</v>
      </c>
      <c r="G14" s="43">
        <f t="array" aca="1" ref="G14" ca="1">INDIRECT("'"&amp;$B$3&amp;"'!"&amp;CHAR(64+COLUMN())&amp;(ROW()-4))</f>
        <v>1.21654501216545</v>
      </c>
      <c r="H14" s="43">
        <f t="array" aca="1" ref="H14" ca="1">INDIRECT("'"&amp;$B$3&amp;"'!"&amp;CHAR(64+COLUMN())&amp;(ROW()-4))</f>
        <v>2016</v>
      </c>
      <c r="I14" s="43">
        <f t="array" aca="1" ref="I14" ca="1">INDIRECT("'"&amp;$B$3&amp;"'!"&amp;CHAR(64+COLUMN())&amp;(ROW()-4))</f>
        <v>1931.5</v>
      </c>
      <c r="J14" s="43">
        <f t="array" aca="1" ref="J14" ca="1">INDIRECT("'"&amp;$B$3&amp;"'!"&amp;CHAR(64+COLUMN())&amp;(ROW()-4))</f>
        <v>1884.25</v>
      </c>
      <c r="K14" s="43">
        <f t="array" aca="1" ref="K14" ca="1">INDIRECT("'"&amp;$B$3&amp;"'!"&amp;CHAR(64+COLUMN())&amp;(ROW()-4))</f>
        <v>82.017377698727699</v>
      </c>
      <c r="L14" s="43">
        <f t="array" aca="1" ref="L14" ca="1">INDIRECT("'"&amp;$B$3&amp;"'!"&amp;CHAR(64+COLUMN())&amp;(ROW()-4))</f>
        <v>70.651643171258485</v>
      </c>
      <c r="M14" s="43">
        <f t="array" aca="1" ref="M14" ca="1">INDIRECT("'"&amp;$B$3&amp;"'!"&amp;CHAR(64+COLUMN())&amp;(ROW()-4))</f>
        <v>93.204861029694626</v>
      </c>
      <c r="N14" s="43">
        <f t="array" aca="1" ref="N14" ca="1">INDIRECT("'"&amp;$B$3&amp;"'!"&amp;CHAR(64+COLUMN())&amp;(ROW()-4))</f>
        <v>85.565783327133232</v>
      </c>
      <c r="O14" s="43">
        <f t="array" aca="1" ref="O14" ca="1">INDIRECT("'"&amp;$B$3&amp;"'!"&amp;CHAR(64+COLUMN())&amp;(ROW()-4))</f>
        <v>25.383908929489571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2090</v>
      </c>
      <c r="D15" s="43">
        <f t="array" aca="1" ref="D15" ca="1">INDIRECT("'"&amp;$B$3&amp;"'!"&amp;CHAR(64+COLUMN())&amp;(ROW()-4))</f>
        <v>2055</v>
      </c>
      <c r="E15" s="43">
        <f t="array" aca="1" ref="E15" ca="1">INDIRECT("'"&amp;$B$3&amp;"'!"&amp;CHAR(64+COLUMN())&amp;(ROW()-4))</f>
        <v>2085</v>
      </c>
      <c r="F15" s="43">
        <f t="array" aca="1" ref="F15" ca="1">INDIRECT("'"&amp;$B$3&amp;"'!"&amp;CHAR(64+COLUMN())&amp;(ROW()-4))</f>
        <v>35974</v>
      </c>
      <c r="G15" s="43">
        <f t="array" aca="1" ref="G15" ca="1">INDIRECT("'"&amp;$B$3&amp;"'!"&amp;CHAR(64+COLUMN())&amp;(ROW()-4))</f>
        <v>0.24038461538461539</v>
      </c>
      <c r="H15" s="43">
        <f t="array" aca="1" ref="H15" ca="1">INDIRECT("'"&amp;$B$3&amp;"'!"&amp;CHAR(64+COLUMN())&amp;(ROW()-4))</f>
        <v>2042</v>
      </c>
      <c r="I15" s="43">
        <f t="array" aca="1" ref="I15" ca="1">INDIRECT("'"&amp;$B$3&amp;"'!"&amp;CHAR(64+COLUMN())&amp;(ROW()-4))</f>
        <v>1964</v>
      </c>
      <c r="J15" s="43">
        <f t="array" aca="1" ref="J15" ca="1">INDIRECT("'"&amp;$B$3&amp;"'!"&amp;CHAR(64+COLUMN())&amp;(ROW()-4))</f>
        <v>1895</v>
      </c>
      <c r="K15" s="43">
        <f t="array" aca="1" ref="K15" ca="1">INDIRECT("'"&amp;$B$3&amp;"'!"&amp;CHAR(64+COLUMN())&amp;(ROW()-4))</f>
        <v>82.469807360524726</v>
      </c>
      <c r="L15" s="43">
        <f t="array" aca="1" ref="L15" ca="1">INDIRECT("'"&amp;$B$3&amp;"'!"&amp;CHAR(64+COLUMN())&amp;(ROW()-4))</f>
        <v>71.000615467497838</v>
      </c>
      <c r="M15" s="43">
        <f t="array" aca="1" ref="M15" ca="1">INDIRECT("'"&amp;$B$3&amp;"'!"&amp;CHAR(64+COLUMN())&amp;(ROW()-4))</f>
        <v>93.774992098892454</v>
      </c>
      <c r="N15" s="43">
        <f t="array" aca="1" ref="N15" ca="1">INDIRECT("'"&amp;$B$3&amp;"'!"&amp;CHAR(64+COLUMN())&amp;(ROW()-4))</f>
        <v>88.302186251052973</v>
      </c>
      <c r="O15" s="43">
        <f t="array" aca="1" ref="O15" ca="1">INDIRECT("'"&amp;$B$3&amp;"'!"&amp;CHAR(64+COLUMN())&amp;(ROW()-4))</f>
        <v>26.069728882886789</v>
      </c>
      <c r="Q15" s="49" t="s">
        <v>46</v>
      </c>
      <c r="R15" s="50" t="str">
        <f ca="1">"通過 "&amp;(COUNTIF(S7:S13,"🟢"))&amp;" / 7  警示 "&amp;COUNTIF(S7:S13,"🟡")&amp;"  危險 "&amp;COUNTIF(S7:S13,"🔴")</f>
        <v>通過 3 / 7  警示 2  危險 1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🟡 等待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2060</v>
      </c>
      <c r="D16" s="43">
        <f t="array" aca="1" ref="D16" ca="1">INDIRECT("'"&amp;$B$3&amp;"'!"&amp;CHAR(64+COLUMN())&amp;(ROW()-4))</f>
        <v>2030</v>
      </c>
      <c r="E16" s="43">
        <f t="array" aca="1" ref="E16" ca="1">INDIRECT("'"&amp;$B$3&amp;"'!"&amp;CHAR(64+COLUMN())&amp;(ROW()-4))</f>
        <v>2030</v>
      </c>
      <c r="F16" s="43">
        <f t="array" aca="1" ref="F16" ca="1">INDIRECT("'"&amp;$B$3&amp;"'!"&amp;CHAR(64+COLUMN())&amp;(ROW()-4))</f>
        <v>44433</v>
      </c>
      <c r="G16" s="43">
        <f t="array" aca="1" ref="G16" ca="1">INDIRECT("'"&amp;$B$3&amp;"'!"&amp;CHAR(64+COLUMN())&amp;(ROW()-4))</f>
        <v>-2.637889688249401</v>
      </c>
      <c r="H16" s="43">
        <f t="array" aca="1" ref="H16" ca="1">INDIRECT("'"&amp;$B$3&amp;"'!"&amp;CHAR(64+COLUMN())&amp;(ROW()-4))</f>
        <v>2048</v>
      </c>
      <c r="I16" s="43">
        <f t="array" aca="1" ref="I16" ca="1">INDIRECT("'"&amp;$B$3&amp;"'!"&amp;CHAR(64+COLUMN())&amp;(ROW()-4))</f>
        <v>1981.5</v>
      </c>
      <c r="J16" s="43">
        <f t="array" aca="1" ref="J16" ca="1">INDIRECT("'"&amp;$B$3&amp;"'!"&amp;CHAR(64+COLUMN())&amp;(ROW()-4))</f>
        <v>1901.25</v>
      </c>
      <c r="K16" s="43">
        <f t="array" aca="1" ref="K16" ca="1">INDIRECT("'"&amp;$B$3&amp;"'!"&amp;CHAR(64+COLUMN())&amp;(ROW()-4))</f>
        <v>61.909511643717288</v>
      </c>
      <c r="L16" s="43">
        <f t="array" aca="1" ref="L16" ca="1">INDIRECT("'"&amp;$B$3&amp;"'!"&amp;CHAR(64+COLUMN())&amp;(ROW()-4))</f>
        <v>62.134717400150222</v>
      </c>
      <c r="M16" s="43">
        <f t="array" aca="1" ref="M16" ca="1">INDIRECT("'"&amp;$B$3&amp;"'!"&amp;CHAR(64+COLUMN())&amp;(ROW()-4))</f>
        <v>87.044963286054085</v>
      </c>
      <c r="N16" s="43">
        <f t="array" aca="1" ref="N16" ca="1">INDIRECT("'"&amp;$B$3&amp;"'!"&amp;CHAR(64+COLUMN())&amp;(ROW()-4))</f>
        <v>87.883111929386672</v>
      </c>
      <c r="O16" s="43">
        <f t="array" aca="1" ref="O16" ca="1">INDIRECT("'"&amp;$B$3&amp;"'!"&amp;CHAR(64+COLUMN())&amp;(ROW()-4))</f>
        <v>21.35143882688342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2055</v>
      </c>
      <c r="D17" s="43">
        <f t="array" aca="1" ref="D17" ca="1">INDIRECT("'"&amp;$B$3&amp;"'!"&amp;CHAR(64+COLUMN())&amp;(ROW()-4))</f>
        <v>2025</v>
      </c>
      <c r="E17" s="43">
        <f t="array" aca="1" ref="E17" ca="1">INDIRECT("'"&amp;$B$3&amp;"'!"&amp;CHAR(64+COLUMN())&amp;(ROW()-4))</f>
        <v>2025</v>
      </c>
      <c r="F17" s="43">
        <f t="array" aca="1" ref="F17" ca="1">INDIRECT("'"&amp;$B$3&amp;"'!"&amp;CHAR(64+COLUMN())&amp;(ROW()-4))</f>
        <v>30566</v>
      </c>
      <c r="G17" s="43">
        <f t="array" aca="1" ref="G17" ca="1">INDIRECT("'"&amp;$B$3&amp;"'!"&amp;CHAR(64+COLUMN())&amp;(ROW()-4))</f>
        <v>-0.2463054187192118</v>
      </c>
      <c r="H17" s="43">
        <f t="array" aca="1" ref="H17" ca="1">INDIRECT("'"&amp;$B$3&amp;"'!"&amp;CHAR(64+COLUMN())&amp;(ROW()-4))</f>
        <v>2055</v>
      </c>
      <c r="I17" s="43">
        <f t="array" aca="1" ref="I17" ca="1">INDIRECT("'"&amp;$B$3&amp;"'!"&amp;CHAR(64+COLUMN())&amp;(ROW()-4))</f>
        <v>2003</v>
      </c>
      <c r="J17" s="43">
        <f t="array" aca="1" ref="J17" ca="1">INDIRECT("'"&amp;$B$3&amp;"'!"&amp;CHAR(64+COLUMN())&amp;(ROW()-4))</f>
        <v>1910</v>
      </c>
      <c r="K17" s="43">
        <f t="array" aca="1" ref="K17" ca="1">INDIRECT("'"&amp;$B$3&amp;"'!"&amp;CHAR(64+COLUMN())&amp;(ROW()-4))</f>
        <v>60.270332112968987</v>
      </c>
      <c r="L17" s="43">
        <f t="array" aca="1" ref="L17" ca="1">INDIRECT("'"&amp;$B$3&amp;"'!"&amp;CHAR(64+COLUMN())&amp;(ROW()-4))</f>
        <v>61.374661376679128</v>
      </c>
      <c r="M17" s="43">
        <f t="array" aca="1" ref="M17" ca="1">INDIRECT("'"&amp;$B$3&amp;"'!"&amp;CHAR(64+COLUMN())&amp;(ROW()-4))</f>
        <v>77.077594571655098</v>
      </c>
      <c r="N17" s="43">
        <f t="array" aca="1" ref="N17" ca="1">INDIRECT("'"&amp;$B$3&amp;"'!"&amp;CHAR(64+COLUMN())&amp;(ROW()-4))</f>
        <v>84.281272810142809</v>
      </c>
      <c r="O17" s="43">
        <f t="array" aca="1" ref="O17" ca="1">INDIRECT("'"&amp;$B$3&amp;"'!"&amp;CHAR(64+COLUMN())&amp;(ROW()-4))</f>
        <v>16.63551681618139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2075</v>
      </c>
      <c r="D18" s="43">
        <f t="array" aca="1" ref="D18" ca="1">INDIRECT("'"&amp;$B$3&amp;"'!"&amp;CHAR(64+COLUMN())&amp;(ROW()-4))</f>
        <v>2045</v>
      </c>
      <c r="E18" s="43">
        <f t="array" aca="1" ref="E18" ca="1">INDIRECT("'"&amp;$B$3&amp;"'!"&amp;CHAR(64+COLUMN())&amp;(ROW()-4))</f>
        <v>2050</v>
      </c>
      <c r="F18" s="43">
        <f t="array" aca="1" ref="F18" ca="1">INDIRECT("'"&amp;$B$3&amp;"'!"&amp;CHAR(64+COLUMN())&amp;(ROW()-4))</f>
        <v>28055</v>
      </c>
      <c r="G18" s="43">
        <f t="array" aca="1" ref="G18" ca="1">INDIRECT("'"&amp;$B$3&amp;"'!"&amp;CHAR(64+COLUMN())&amp;(ROW()-4))</f>
        <v>1.2345679012345681</v>
      </c>
      <c r="H18" s="43">
        <f t="array" aca="1" ref="H18" ca="1">INDIRECT("'"&amp;$B$3&amp;"'!"&amp;CHAR(64+COLUMN())&amp;(ROW()-4))</f>
        <v>2054</v>
      </c>
      <c r="I18" s="43">
        <f t="array" aca="1" ref="I18" ca="1">INDIRECT("'"&amp;$B$3&amp;"'!"&amp;CHAR(64+COLUMN())&amp;(ROW()-4))</f>
        <v>2022</v>
      </c>
      <c r="J18" s="43">
        <f t="array" aca="1" ref="J18" ca="1">INDIRECT("'"&amp;$B$3&amp;"'!"&amp;CHAR(64+COLUMN())&amp;(ROW()-4))</f>
        <v>1920.5</v>
      </c>
      <c r="K18" s="43">
        <f t="array" aca="1" ref="K18" ca="1">INDIRECT("'"&amp;$B$3&amp;"'!"&amp;CHAR(64+COLUMN())&amp;(ROW()-4))</f>
        <v>65.716657146885296</v>
      </c>
      <c r="L18" s="43">
        <f t="array" aca="1" ref="L18" ca="1">INDIRECT("'"&amp;$B$3&amp;"'!"&amp;CHAR(64+COLUMN())&amp;(ROW()-4))</f>
        <v>63.790627506795268</v>
      </c>
      <c r="M18" s="43">
        <f t="array" aca="1" ref="M18" ca="1">INDIRECT("'"&amp;$B$3&amp;"'!"&amp;CHAR(64+COLUMN())&amp;(ROW()-4))</f>
        <v>74.914474812475945</v>
      </c>
      <c r="N18" s="43">
        <f t="array" aca="1" ref="N18" ca="1">INDIRECT("'"&amp;$B$3&amp;"'!"&amp;CHAR(64+COLUMN())&amp;(ROW()-4))</f>
        <v>81.159006810920516</v>
      </c>
      <c r="O18" s="43">
        <f t="array" aca="1" ref="O18" ca="1">INDIRECT("'"&amp;$B$3&amp;"'!"&amp;CHAR(64+COLUMN())&amp;(ROW()-4))</f>
        <v>14.04490968157706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2070</v>
      </c>
      <c r="D19" s="43">
        <f t="array" aca="1" ref="D19" ca="1">INDIRECT("'"&amp;$B$3&amp;"'!"&amp;CHAR(64+COLUMN())&amp;(ROW()-4))</f>
        <v>2040</v>
      </c>
      <c r="E19" s="43">
        <f t="array" aca="1" ref="E19" ca="1">INDIRECT("'"&amp;$B$3&amp;"'!"&amp;CHAR(64+COLUMN())&amp;(ROW()-4))</f>
        <v>2050</v>
      </c>
      <c r="F19" s="43">
        <f t="array" aca="1" ref="F19" ca="1">INDIRECT("'"&amp;$B$3&amp;"'!"&amp;CHAR(64+COLUMN())&amp;(ROW()-4))</f>
        <v>27457</v>
      </c>
      <c r="G19" s="43">
        <f t="array" aca="1" ref="G19" ca="1">INDIRECT("'"&amp;$B$3&amp;"'!"&amp;CHAR(64+COLUMN())&amp;(ROW()-4))</f>
        <v>0</v>
      </c>
      <c r="H19" s="43">
        <f t="array" aca="1" ref="H19" ca="1">INDIRECT("'"&amp;$B$3&amp;"'!"&amp;CHAR(64+COLUMN())&amp;(ROW()-4))</f>
        <v>2048</v>
      </c>
      <c r="I19" s="43">
        <f t="array" aca="1" ref="I19" ca="1">INDIRECT("'"&amp;$B$3&amp;"'!"&amp;CHAR(64+COLUMN())&amp;(ROW()-4))</f>
        <v>2032</v>
      </c>
      <c r="J19" s="43">
        <f t="array" aca="1" ref="J19" ca="1">INDIRECT("'"&amp;$B$3&amp;"'!"&amp;CHAR(64+COLUMN())&amp;(ROW()-4))</f>
        <v>1932.5</v>
      </c>
      <c r="K19" s="43">
        <f t="array" aca="1" ref="K19" ca="1">INDIRECT("'"&amp;$B$3&amp;"'!"&amp;CHAR(64+COLUMN())&amp;(ROW()-4))</f>
        <v>65.716657146885296</v>
      </c>
      <c r="L19" s="43">
        <f t="array" aca="1" ref="L19" ca="1">INDIRECT("'"&amp;$B$3&amp;"'!"&amp;CHAR(64+COLUMN())&amp;(ROW()-4))</f>
        <v>63.790627506795282</v>
      </c>
      <c r="M19" s="43">
        <f t="array" aca="1" ref="M19" ca="1">INDIRECT("'"&amp;$B$3&amp;"'!"&amp;CHAR(64+COLUMN())&amp;(ROW()-4))</f>
        <v>70.455803721137812</v>
      </c>
      <c r="N19" s="43">
        <f t="array" aca="1" ref="N19" ca="1">INDIRECT("'"&amp;$B$3&amp;"'!"&amp;CHAR(64+COLUMN())&amp;(ROW()-4))</f>
        <v>77.591272447659605</v>
      </c>
      <c r="O19" s="43">
        <f t="array" aca="1" ref="O19" ca="1">INDIRECT("'"&amp;$B$3&amp;"'!"&amp;CHAR(64+COLUMN())&amp;(ROW()-4))</f>
        <v>11.294759858292091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2135</v>
      </c>
      <c r="D20" s="43">
        <f t="array" aca="1" ref="D20" ca="1">INDIRECT("'"&amp;$B$3&amp;"'!"&amp;CHAR(64+COLUMN())&amp;(ROW()-4))</f>
        <v>2055</v>
      </c>
      <c r="E20" s="43">
        <f t="array" aca="1" ref="E20" ca="1">INDIRECT("'"&amp;$B$3&amp;"'!"&amp;CHAR(64+COLUMN())&amp;(ROW()-4))</f>
        <v>2080</v>
      </c>
      <c r="F20" s="43">
        <f t="array" aca="1" ref="F20" ca="1">INDIRECT("'"&amp;$B$3&amp;"'!"&amp;CHAR(64+COLUMN())&amp;(ROW()-4))</f>
        <v>54918</v>
      </c>
      <c r="G20" s="43">
        <f t="array" aca="1" ref="G20" ca="1">INDIRECT("'"&amp;$B$3&amp;"'!"&amp;CHAR(64+COLUMN())&amp;(ROW()-4))</f>
        <v>1.4634146341463421</v>
      </c>
      <c r="H20" s="43">
        <f t="array" aca="1" ref="H20" ca="1">INDIRECT("'"&amp;$B$3&amp;"'!"&amp;CHAR(64+COLUMN())&amp;(ROW()-4))</f>
        <v>2047</v>
      </c>
      <c r="I20" s="43">
        <f t="array" aca="1" ref="I20" ca="1">INDIRECT("'"&amp;$B$3&amp;"'!"&amp;CHAR(64+COLUMN())&amp;(ROW()-4))</f>
        <v>2044.5</v>
      </c>
      <c r="J20" s="43">
        <f t="array" aca="1" ref="J20" ca="1">INDIRECT("'"&amp;$B$3&amp;"'!"&amp;CHAR(64+COLUMN())&amp;(ROW()-4))</f>
        <v>1946</v>
      </c>
      <c r="K20" s="43">
        <f t="array" aca="1" ref="K20" ca="1">INDIRECT("'"&amp;$B$3&amp;"'!"&amp;CHAR(64+COLUMN())&amp;(ROW()-4))</f>
        <v>72.282450274834986</v>
      </c>
      <c r="L20" s="43">
        <f t="array" aca="1" ref="L20" ca="1">INDIRECT("'"&amp;$B$3&amp;"'!"&amp;CHAR(64+COLUMN())&amp;(ROW()-4))</f>
        <v>66.759832066029063</v>
      </c>
      <c r="M20" s="43">
        <f t="array" aca="1" ref="M20" ca="1">INDIRECT("'"&amp;$B$3&amp;"'!"&amp;CHAR(64+COLUMN())&amp;(ROW()-4))</f>
        <v>68.845535814091875</v>
      </c>
      <c r="N20" s="43">
        <f t="array" aca="1" ref="N20" ca="1">INDIRECT("'"&amp;$B$3&amp;"'!"&amp;CHAR(64+COLUMN())&amp;(ROW()-4))</f>
        <v>74.676026903137029</v>
      </c>
      <c r="O20" s="43">
        <f t="array" aca="1" ref="O20" ca="1">INDIRECT("'"&amp;$B$3&amp;"'!"&amp;CHAR(64+COLUMN())&amp;(ROW()-4))</f>
        <v>10.47756603885864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2190</v>
      </c>
      <c r="D21" s="43">
        <f t="array" aca="1" ref="D21" ca="1">INDIRECT("'"&amp;$B$3&amp;"'!"&amp;CHAR(64+COLUMN())&amp;(ROW()-4))</f>
        <v>2105</v>
      </c>
      <c r="E21" s="43">
        <f t="array" aca="1" ref="E21" ca="1">INDIRECT("'"&amp;$B$3&amp;"'!"&amp;CHAR(64+COLUMN())&amp;(ROW()-4))</f>
        <v>2185</v>
      </c>
      <c r="F21" s="43">
        <f t="array" aca="1" ref="F21" ca="1">INDIRECT("'"&amp;$B$3&amp;"'!"&amp;CHAR(64+COLUMN())&amp;(ROW()-4))</f>
        <v>52391</v>
      </c>
      <c r="G21" s="43">
        <f t="array" aca="1" ref="G21" ca="1">INDIRECT("'"&amp;$B$3&amp;"'!"&amp;CHAR(64+COLUMN())&amp;(ROW()-4))</f>
        <v>5.0480769230769234</v>
      </c>
      <c r="H21" s="43">
        <f t="array" aca="1" ref="H21" ca="1">INDIRECT("'"&amp;$B$3&amp;"'!"&amp;CHAR(64+COLUMN())&amp;(ROW()-4))</f>
        <v>2078</v>
      </c>
      <c r="I21" s="43">
        <f t="array" aca="1" ref="I21" ca="1">INDIRECT("'"&amp;$B$3&amp;"'!"&amp;CHAR(64+COLUMN())&amp;(ROW()-4))</f>
        <v>2063</v>
      </c>
      <c r="J21" s="43">
        <f t="array" aca="1" ref="J21" ca="1">INDIRECT("'"&amp;$B$3&amp;"'!"&amp;CHAR(64+COLUMN())&amp;(ROW()-4))</f>
        <v>1963</v>
      </c>
      <c r="K21" s="43">
        <f t="array" aca="1" ref="K21" ca="1">INDIRECT("'"&amp;$B$3&amp;"'!"&amp;CHAR(64+COLUMN())&amp;(ROW()-4))</f>
        <v>84.638615127167213</v>
      </c>
      <c r="L21" s="43">
        <f t="array" aca="1" ref="L21" ca="1">INDIRECT("'"&amp;$B$3&amp;"'!"&amp;CHAR(64+COLUMN())&amp;(ROW()-4))</f>
        <v>74.685627957388164</v>
      </c>
      <c r="M21" s="43">
        <f t="array" aca="1" ref="M21" ca="1">INDIRECT("'"&amp;$B$3&amp;"'!"&amp;CHAR(64+COLUMN())&amp;(ROW()-4))</f>
        <v>78.304431283468659</v>
      </c>
      <c r="N21" s="43">
        <f t="array" aca="1" ref="N21" ca="1">INDIRECT("'"&amp;$B$3&amp;"'!"&amp;CHAR(64+COLUMN())&amp;(ROW()-4))</f>
        <v>75.885495029914239</v>
      </c>
      <c r="O21" s="43">
        <f t="array" aca="1" ref="O21" ca="1">INDIRECT("'"&amp;$B$3&amp;"'!"&amp;CHAR(64+COLUMN())&amp;(ROW()-4))</f>
        <v>15.677194539350779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2330</v>
      </c>
      <c r="D22" s="43">
        <f t="array" aca="1" ref="D22" ca="1">INDIRECT("'"&amp;$B$3&amp;"'!"&amp;CHAR(64+COLUMN())&amp;(ROW()-4))</f>
        <v>2265</v>
      </c>
      <c r="E22" s="43">
        <f t="array" aca="1" ref="E22" ca="1">INDIRECT("'"&amp;$B$3&amp;"'!"&amp;CHAR(64+COLUMN())&amp;(ROW()-4))</f>
        <v>2265</v>
      </c>
      <c r="F22" s="43">
        <f t="array" aca="1" ref="F22" ca="1">INDIRECT("'"&amp;$B$3&amp;"'!"&amp;CHAR(64+COLUMN())&amp;(ROW()-4))</f>
        <v>79778</v>
      </c>
      <c r="G22" s="43">
        <f t="array" aca="1" ref="G22" ca="1">INDIRECT("'"&amp;$B$3&amp;"'!"&amp;CHAR(64+COLUMN())&amp;(ROW()-4))</f>
        <v>3.6613272311212821</v>
      </c>
      <c r="H22" s="43">
        <f t="array" aca="1" ref="H22" ca="1">INDIRECT("'"&amp;$B$3&amp;"'!"&amp;CHAR(64+COLUMN())&amp;(ROW()-4))</f>
        <v>2126</v>
      </c>
      <c r="I22" s="43">
        <f t="array" aca="1" ref="I22" ca="1">INDIRECT("'"&amp;$B$3&amp;"'!"&amp;CHAR(64+COLUMN())&amp;(ROW()-4))</f>
        <v>2090.5</v>
      </c>
      <c r="J22" s="43">
        <f t="array" aca="1" ref="J22" ca="1">INDIRECT("'"&amp;$B$3&amp;"'!"&amp;CHAR(64+COLUMN())&amp;(ROW()-4))</f>
        <v>1984.25</v>
      </c>
      <c r="K22" s="43">
        <f t="array" aca="1" ref="K22" ca="1">INDIRECT("'"&amp;$B$3&amp;"'!"&amp;CHAR(64+COLUMN())&amp;(ROW()-4))</f>
        <v>89.086655040069559</v>
      </c>
      <c r="L22" s="43">
        <f t="array" aca="1" ref="L22" ca="1">INDIRECT("'"&amp;$B$3&amp;"'!"&amp;CHAR(64+COLUMN())&amp;(ROW()-4))</f>
        <v>78.87272003035639</v>
      </c>
      <c r="M22" s="43">
        <f t="array" aca="1" ref="M22" ca="1">INDIRECT("'"&amp;$B$3&amp;"'!"&amp;CHAR(64+COLUMN())&amp;(ROW()-4))</f>
        <v>78.432462385700418</v>
      </c>
      <c r="N22" s="43">
        <f t="array" aca="1" ref="N22" ca="1">INDIRECT("'"&amp;$B$3&amp;"'!"&amp;CHAR(64+COLUMN())&amp;(ROW()-4))</f>
        <v>76.734484148509637</v>
      </c>
      <c r="O22" s="43">
        <f t="array" aca="1" ref="O22" ca="1">INDIRECT("'"&amp;$B$3&amp;"'!"&amp;CHAR(64+COLUMN())&amp;(ROW()-4))</f>
        <v>22.744304493811679</v>
      </c>
      <c r="Q22" s="82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2280</v>
      </c>
      <c r="D23" s="43">
        <f t="array" aca="1" ref="D23" ca="1">INDIRECT("'"&amp;$B$3&amp;"'!"&amp;CHAR(64+COLUMN())&amp;(ROW()-4))</f>
        <v>2215</v>
      </c>
      <c r="E23" s="43">
        <f t="array" aca="1" ref="E23" ca="1">INDIRECT("'"&amp;$B$3&amp;"'!"&amp;CHAR(64+COLUMN())&amp;(ROW()-4))</f>
        <v>2215</v>
      </c>
      <c r="F23" s="43">
        <f t="array" aca="1" ref="F23" ca="1">INDIRECT("'"&amp;$B$3&amp;"'!"&amp;CHAR(64+COLUMN())&amp;(ROW()-4))</f>
        <v>57336</v>
      </c>
      <c r="G23" s="43">
        <f t="array" aca="1" ref="G23" ca="1">INDIRECT("'"&amp;$B$3&amp;"'!"&amp;CHAR(64+COLUMN())&amp;(ROW()-4))</f>
        <v>-2.2075055187637971</v>
      </c>
      <c r="H23" s="43">
        <f t="array" aca="1" ref="H23" ca="1">INDIRECT("'"&amp;$B$3&amp;"'!"&amp;CHAR(64+COLUMN())&amp;(ROW()-4))</f>
        <v>2159</v>
      </c>
      <c r="I23" s="43">
        <f t="array" aca="1" ref="I23" ca="1">INDIRECT("'"&amp;$B$3&amp;"'!"&amp;CHAR(64+COLUMN())&amp;(ROW()-4))</f>
        <v>2106.5</v>
      </c>
      <c r="J23" s="43">
        <f t="array" aca="1" ref="J23" ca="1">INDIRECT("'"&amp;$B$3&amp;"'!"&amp;CHAR(64+COLUMN())&amp;(ROW()-4))</f>
        <v>2004</v>
      </c>
      <c r="K23" s="43">
        <f t="array" aca="1" ref="K23" ca="1">INDIRECT("'"&amp;$B$3&amp;"'!"&amp;CHAR(64+COLUMN())&amp;(ROW()-4))</f>
        <v>73.191636875604928</v>
      </c>
      <c r="L23" s="43">
        <f t="array" aca="1" ref="L23" ca="1">INDIRECT("'"&amp;$B$3&amp;"'!"&amp;CHAR(64+COLUMN())&amp;(ROW()-4))</f>
        <v>70.879288156628931</v>
      </c>
      <c r="M23" s="43">
        <f t="array" aca="1" ref="M23" ca="1">INDIRECT("'"&amp;$B$3&amp;"'!"&amp;CHAR(64+COLUMN())&amp;(ROW()-4))</f>
        <v>73.053335579537986</v>
      </c>
      <c r="N23" s="43">
        <f t="array" aca="1" ref="N23" ca="1">INDIRECT("'"&amp;$B$3&amp;"'!"&amp;CHAR(64+COLUMN())&amp;(ROW()-4))</f>
        <v>75.507434625519082</v>
      </c>
      <c r="O23" s="43">
        <f t="array" aca="1" ref="O23" ca="1">INDIRECT("'"&amp;$B$3&amp;"'!"&amp;CHAR(64+COLUMN())&amp;(ROW()-4))</f>
        <v>22.263310895896481</v>
      </c>
      <c r="Q23" s="66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2210</v>
      </c>
      <c r="D24" s="43">
        <f t="array" aca="1" ref="D24" ca="1">INDIRECT("'"&amp;$B$3&amp;"'!"&amp;CHAR(64+COLUMN())&amp;(ROW()-4))</f>
        <v>2165</v>
      </c>
      <c r="E24" s="43">
        <f t="array" aca="1" ref="E24" ca="1">INDIRECT("'"&amp;$B$3&amp;"'!"&amp;CHAR(64+COLUMN())&amp;(ROW()-4))</f>
        <v>2180</v>
      </c>
      <c r="F24" s="43">
        <f t="array" aca="1" ref="F24" ca="1">INDIRECT("'"&amp;$B$3&amp;"'!"&amp;CHAR(64+COLUMN())&amp;(ROW()-4))</f>
        <v>49147</v>
      </c>
      <c r="G24" s="43">
        <f t="array" aca="1" ref="G24" ca="1">INDIRECT("'"&amp;$B$3&amp;"'!"&amp;CHAR(64+COLUMN())&amp;(ROW()-4))</f>
        <v>-1.5801354401805869</v>
      </c>
      <c r="H24" s="43">
        <f t="array" aca="1" ref="H24" ca="1">INDIRECT("'"&amp;$B$3&amp;"'!"&amp;CHAR(64+COLUMN())&amp;(ROW()-4))</f>
        <v>2185</v>
      </c>
      <c r="I24" s="43">
        <f t="array" aca="1" ref="I24" ca="1">INDIRECT("'"&amp;$B$3&amp;"'!"&amp;CHAR(64+COLUMN())&amp;(ROW()-4))</f>
        <v>2116.5</v>
      </c>
      <c r="J24" s="43">
        <f t="array" aca="1" ref="J24" ca="1">INDIRECT("'"&amp;$B$3&amp;"'!"&amp;CHAR(64+COLUMN())&amp;(ROW()-4))</f>
        <v>2024</v>
      </c>
      <c r="K24" s="43">
        <f t="array" aca="1" ref="K24" ca="1">INDIRECT("'"&amp;$B$3&amp;"'!"&amp;CHAR(64+COLUMN())&amp;(ROW()-4))</f>
        <v>63.651849614434958</v>
      </c>
      <c r="L24" s="43">
        <f t="array" aca="1" ref="L24" ca="1">INDIRECT("'"&amp;$B$3&amp;"'!"&amp;CHAR(64+COLUMN())&amp;(ROW()-4))</f>
        <v>65.787868704022429</v>
      </c>
      <c r="M24" s="43">
        <f t="array" aca="1" ref="M24" ca="1">INDIRECT("'"&amp;$B$3&amp;"'!"&amp;CHAR(64+COLUMN())&amp;(ROW()-4))</f>
        <v>65.6421144300745</v>
      </c>
      <c r="N24" s="43">
        <f t="array" aca="1" ref="N24" ca="1">INDIRECT("'"&amp;$B$3&amp;"'!"&amp;CHAR(64+COLUMN())&amp;(ROW()-4))</f>
        <v>72.218994560370874</v>
      </c>
      <c r="O24" s="43">
        <f t="array" aca="1" ref="O24" ca="1">INDIRECT("'"&amp;$B$3&amp;"'!"&amp;CHAR(64+COLUMN())&amp;(ROW()-4))</f>
        <v>17.983049069953669</v>
      </c>
      <c r="Q24" s="84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2215</v>
      </c>
      <c r="D25" s="43">
        <f t="array" aca="1" ref="D25" ca="1">INDIRECT("'"&amp;$B$3&amp;"'!"&amp;CHAR(64+COLUMN())&amp;(ROW()-4))</f>
        <v>2135</v>
      </c>
      <c r="E25" s="43">
        <f t="array" aca="1" ref="E25" ca="1">INDIRECT("'"&amp;$B$3&amp;"'!"&amp;CHAR(64+COLUMN())&amp;(ROW()-4))</f>
        <v>2135</v>
      </c>
      <c r="F25" s="43">
        <f t="array" aca="1" ref="F25" ca="1">INDIRECT("'"&amp;$B$3&amp;"'!"&amp;CHAR(64+COLUMN())&amp;(ROW()-4))</f>
        <v>59584</v>
      </c>
      <c r="G25" s="43">
        <f t="array" aca="1" ref="G25" ca="1">INDIRECT("'"&amp;$B$3&amp;"'!"&amp;CHAR(64+COLUMN())&amp;(ROW()-4))</f>
        <v>-2.0642201834862388</v>
      </c>
      <c r="H25" s="43">
        <f t="array" aca="1" ref="H25" ca="1">INDIRECT("'"&amp;$B$3&amp;"'!"&amp;CHAR(64+COLUMN())&amp;(ROW()-4))</f>
        <v>2196</v>
      </c>
      <c r="I25" s="43">
        <f t="array" aca="1" ref="I25" ca="1">INDIRECT("'"&amp;$B$3&amp;"'!"&amp;CHAR(64+COLUMN())&amp;(ROW()-4))</f>
        <v>2121.5</v>
      </c>
      <c r="J25" s="43">
        <f t="array" aca="1" ref="J25" ca="1">INDIRECT("'"&amp;$B$3&amp;"'!"&amp;CHAR(64+COLUMN())&amp;(ROW()-4))</f>
        <v>2042.75</v>
      </c>
      <c r="K25" s="43">
        <f t="array" aca="1" ref="K25" ca="1">INDIRECT("'"&amp;$B$3&amp;"'!"&amp;CHAR(64+COLUMN())&amp;(ROW()-4))</f>
        <v>52.9948160309334</v>
      </c>
      <c r="L25" s="43">
        <f t="array" aca="1" ref="L25" ca="1">INDIRECT("'"&amp;$B$3&amp;"'!"&amp;CHAR(64+COLUMN())&amp;(ROW()-4))</f>
        <v>59.766309004248797</v>
      </c>
      <c r="M25" s="43">
        <f t="array" aca="1" ref="M25" ca="1">INDIRECT("'"&amp;$B$3&amp;"'!"&amp;CHAR(64+COLUMN())&amp;(ROW()-4))</f>
        <v>55.783267543546927</v>
      </c>
      <c r="N25" s="43">
        <f t="array" aca="1" ref="N25" ca="1">INDIRECT("'"&amp;$B$3&amp;"'!"&amp;CHAR(64+COLUMN())&amp;(ROW()-4))</f>
        <v>66.740418888096229</v>
      </c>
      <c r="O25" s="43">
        <f t="array" aca="1" ref="O25" ca="1">INDIRECT("'"&amp;$B$3&amp;"'!"&amp;CHAR(64+COLUMN())&amp;(ROW()-4))</f>
        <v>10.866694275849261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目前燈號為「🟡 等待」，建議等待、不推薦進出場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2083.5</v>
      </c>
      <c r="S27" s="69">
        <f ca="1">ROUND((E25*(1-N32)-E25)/E25,4)</f>
        <v>-2.41E-2</v>
      </c>
      <c r="T27" s="70" t="str">
        <f ca="1">"再跌 "&amp;TEXT(ABS((E25*(1-N32)-E25)/E25),"0.0%")&amp;" 至 "&amp;TEXT(E25*(1-N32),"0.0")&amp;" 進入積極買進區"</f>
        <v>再跌 2.4% 至 2083.5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2330</v>
      </c>
      <c r="Q28" s="71" t="s">
        <v>129</v>
      </c>
      <c r="R28" s="72">
        <f ca="1">ROUND(MAX(H25,E25*(1+N32)),1)</f>
        <v>2196</v>
      </c>
      <c r="S28" s="73">
        <f ca="1">ROUND((MAX(H25,E25*(1+N32))-E25)/E25,4)</f>
        <v>2.86E-2</v>
      </c>
      <c r="T28" s="74" t="str">
        <f ca="1">"再漲 "&amp;TEXT(ABS((MAX(H25,E25*(1+N32))-E25)/E25),"0.0%")&amp;" 至 "&amp;TEXT(MAX(H25,E25*(1+N32)),"0.0")&amp;" 進入反彈賣出區"</f>
        <v>再漲 2.9% 至 2196.0 進入反彈賣出區</v>
      </c>
    </row>
    <row r="29" spans="1:20" x14ac:dyDescent="0.2">
      <c r="A29" s="1" t="s">
        <v>130</v>
      </c>
      <c r="B29" s="117">
        <v>13.95</v>
      </c>
      <c r="C29" s="117">
        <v>15.36</v>
      </c>
      <c r="D29" s="117">
        <v>17.440000000000001</v>
      </c>
      <c r="E29" s="117">
        <v>19.510000000000002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1805</v>
      </c>
    </row>
    <row r="30" spans="1:20" ht="16" customHeight="1" x14ac:dyDescent="0.2">
      <c r="A30" s="1" t="s">
        <v>132</v>
      </c>
      <c r="B30" s="107">
        <f>SUM(B29:E29)</f>
        <v>66.260000000000005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2042.75</v>
      </c>
    </row>
    <row r="31" spans="1:20" x14ac:dyDescent="0.2">
      <c r="A31" s="9" t="s">
        <v>134</v>
      </c>
      <c r="C31" s="10">
        <f>IF(B29=0,"—",(C29-B29)/ABS(B29))</f>
        <v>0.10107526881720431</v>
      </c>
      <c r="D31" s="11">
        <f>IF(C29=0,"—",(D29-C29)/ABS(C29))</f>
        <v>0.1354166666666668</v>
      </c>
      <c r="E31" s="10">
        <f>IF(D29=0,"—",(E29-D29)/ABS(D29))</f>
        <v>0.11869266055045873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0.15094339622641509</v>
      </c>
    </row>
    <row r="32" spans="1:20" x14ac:dyDescent="0.2">
      <c r="A32" s="110" t="s">
        <v>174</v>
      </c>
      <c r="B32" s="106"/>
      <c r="C32" s="106"/>
      <c r="D32" s="106"/>
      <c r="E32" s="106"/>
      <c r="M32" s="1" t="s">
        <v>137</v>
      </c>
      <c r="N32" s="23">
        <f ca="1">STDEV(G7:G25)/100</f>
        <v>2.4116817137851833E-2</v>
      </c>
    </row>
    <row r="33" spans="1:14" ht="17" customHeight="1" x14ac:dyDescent="0.2">
      <c r="A33" s="108" t="s">
        <v>186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2135</v>
      </c>
    </row>
    <row r="34" spans="1:14" x14ac:dyDescent="0.2">
      <c r="A34" t="s">
        <v>141</v>
      </c>
      <c r="B34" s="3">
        <v>15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3">
        <v>208.99</v>
      </c>
      <c r="G35" t="s">
        <v>146</v>
      </c>
      <c r="H35" s="27">
        <f>B36*B30</f>
        <v>1656.5000000000002</v>
      </c>
      <c r="I35" s="27">
        <f>C36*B30</f>
        <v>2120.3200000000002</v>
      </c>
      <c r="J35" s="27">
        <f>D36*B30</f>
        <v>2650.4</v>
      </c>
    </row>
    <row r="36" spans="1:14" ht="17" customHeight="1" x14ac:dyDescent="0.2">
      <c r="A36" t="s">
        <v>147</v>
      </c>
      <c r="B36" s="3">
        <v>25</v>
      </c>
      <c r="C36" s="3">
        <v>32</v>
      </c>
      <c r="D36" s="3">
        <v>40</v>
      </c>
      <c r="G36" t="s">
        <v>148</v>
      </c>
      <c r="H36" s="27">
        <f>B37*B35</f>
        <v>1462.93</v>
      </c>
      <c r="I36" s="27">
        <f>C37*B35</f>
        <v>2089.9</v>
      </c>
      <c r="J36" s="27">
        <f>D37*B35</f>
        <v>2716.87</v>
      </c>
    </row>
    <row r="37" spans="1:14" ht="17" customHeight="1" x14ac:dyDescent="0.2">
      <c r="A37" t="s">
        <v>149</v>
      </c>
      <c r="B37" s="3">
        <v>7</v>
      </c>
      <c r="C37" s="3">
        <v>10</v>
      </c>
      <c r="D37" s="3">
        <v>13</v>
      </c>
      <c r="G37" t="s">
        <v>150</v>
      </c>
      <c r="H37" s="27">
        <f>B34/B38</f>
        <v>1000</v>
      </c>
      <c r="I37" s="27">
        <f>B34/C38</f>
        <v>1500</v>
      </c>
      <c r="J37" s="27">
        <f>B34/D38</f>
        <v>2500</v>
      </c>
    </row>
    <row r="38" spans="1:14" ht="17" customHeight="1" x14ac:dyDescent="0.25">
      <c r="A38" s="40" t="s">
        <v>151</v>
      </c>
      <c r="B38" s="37">
        <v>1.4999999999999999E-2</v>
      </c>
      <c r="C38" s="37">
        <v>0.01</v>
      </c>
      <c r="D38" s="37">
        <v>6.0000000000000001E-3</v>
      </c>
      <c r="G38" s="29" t="s">
        <v>152</v>
      </c>
      <c r="H38" s="38">
        <f>AVERAGE(H35,H36,H37)</f>
        <v>1373.1433333333334</v>
      </c>
      <c r="I38" s="38">
        <f>AVERAGE(I35,I36,I37)</f>
        <v>1903.4066666666668</v>
      </c>
      <c r="J38" s="39">
        <f>AVERAGE(J35,J36,J37)</f>
        <v>2622.4233333333336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5" priority="1" operator="lessThan">
      <formula>0</formula>
    </cfRule>
  </conditionalFormatting>
  <conditionalFormatting sqref="O6:O25">
    <cfRule type="cellIs" dxfId="4" priority="2" operator="lessThan">
      <formula>0</formula>
    </cfRule>
  </conditionalFormatting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39"/>
  <sheetViews>
    <sheetView zoomScaleNormal="100" workbookViewId="0">
      <pane ySplit="5" topLeftCell="A6" activePane="bottomLeft" state="frozen"/>
      <selection activeCell="H18" sqref="H18"/>
      <selection pane="bottomLeft" sqref="A1:XFD1048576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9" bestFit="1" customWidth="1"/>
    <col min="6" max="6" width="10.33203125" bestFit="1" customWidth="1"/>
    <col min="7" max="7" width="10" bestFit="1" customWidth="1"/>
    <col min="8" max="10" width="9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8.5" bestFit="1" customWidth="1"/>
    <col min="15" max="15" width="10.5" bestFit="1" customWidth="1"/>
    <col min="16" max="16" width="9.1640625" customWidth="1"/>
    <col min="17" max="17" width="14.1640625" bestFit="1" customWidth="1"/>
    <col min="18" max="18" width="40.83203125" bestFit="1" customWidth="1"/>
    <col min="19" max="19" width="10.33203125" bestFit="1" customWidth="1"/>
    <col min="20" max="20" width="55.83203125" bestFit="1" customWidth="1"/>
  </cols>
  <sheetData>
    <row r="1" spans="1:20" ht="19" customHeight="1" x14ac:dyDescent="0.25">
      <c r="A1" s="105" t="s">
        <v>187</v>
      </c>
      <c r="B1" s="106"/>
      <c r="C1" s="106"/>
      <c r="D1" s="106"/>
      <c r="E1" s="106"/>
      <c r="F1" s="106"/>
      <c r="G1" s="106"/>
    </row>
    <row r="2" spans="1:20" ht="17" customHeight="1" x14ac:dyDescent="0.2">
      <c r="A2" s="1" t="s">
        <v>69</v>
      </c>
      <c r="B2" s="102" t="s">
        <v>188</v>
      </c>
    </row>
    <row r="3" spans="1:20" x14ac:dyDescent="0.2">
      <c r="A3" s="1" t="s">
        <v>2</v>
      </c>
      <c r="B3" s="2">
        <v>2308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1495</v>
      </c>
      <c r="D6" s="43">
        <f t="array" aca="1" ref="D6" ca="1">INDIRECT("'"&amp;$B$3&amp;"'!"&amp;CHAR(64+COLUMN())&amp;(ROW()-4))</f>
        <v>1450</v>
      </c>
      <c r="E6" s="43">
        <f t="array" aca="1" ref="E6" ca="1">INDIRECT("'"&amp;$B$3&amp;"'!"&amp;CHAR(64+COLUMN())&amp;(ROW()-4))</f>
        <v>1475</v>
      </c>
      <c r="F6" s="43">
        <f t="array" aca="1" ref="F6" ca="1">INDIRECT("'"&amp;$B$3&amp;"'!"&amp;CHAR(64+COLUMN())&amp;(ROW()-4))</f>
        <v>12559</v>
      </c>
      <c r="G6" s="43">
        <f t="array" aca="1" ref="G6" ca="1">INDIRECT("'"&amp;$B$3&amp;"'!"&amp;CHAR(64+COLUMN())&amp;(ROW()-4))</f>
        <v>6.8840579710144931</v>
      </c>
      <c r="H6" s="43">
        <f t="array" aca="1" ref="H6" ca="1">INDIRECT("'"&amp;$B$3&amp;"'!"&amp;CHAR(64+COLUMN())&amp;(ROW()-4))</f>
        <v>1473</v>
      </c>
      <c r="I6" s="43">
        <f t="array" aca="1" ref="I6" ca="1">INDIRECT("'"&amp;$B$3&amp;"'!"&amp;CHAR(64+COLUMN())&amp;(ROW()-4))</f>
        <v>1467</v>
      </c>
      <c r="J6" s="43">
        <f t="array" aca="1" ref="J6" ca="1">INDIRECT("'"&amp;$B$3&amp;"'!"&amp;CHAR(64+COLUMN())&amp;(ROW()-4))</f>
        <v>1412.75</v>
      </c>
      <c r="K6" s="43">
        <f t="array" aca="1" ref="K6" ca="1">INDIRECT("'"&amp;$B$3&amp;"'!"&amp;CHAR(64+COLUMN())&amp;(ROW()-4))</f>
        <v>54.093544971116209</v>
      </c>
      <c r="L6" s="43">
        <f t="array" aca="1" ref="L6" ca="1">INDIRECT("'"&amp;$B$3&amp;"'!"&amp;CHAR(64+COLUMN())&amp;(ROW()-4))</f>
        <v>56.037803216863431</v>
      </c>
      <c r="M6" s="43">
        <f t="array" aca="1" ref="M6" ca="1">INDIRECT("'"&amp;$B$3&amp;"'!"&amp;CHAR(64+COLUMN())&amp;(ROW()-4))</f>
        <v>49.570406088209609</v>
      </c>
      <c r="N6" s="43">
        <f t="array" aca="1" ref="N6" ca="1">INDIRECT("'"&amp;$B$3&amp;"'!"&amp;CHAR(64+COLUMN())&amp;(ROW()-4))</f>
        <v>57.898956502512377</v>
      </c>
      <c r="O6" s="43">
        <f t="array" aca="1" ref="O6" ca="1">INDIRECT("'"&amp;$B$3&amp;"'!"&amp;CHAR(64+COLUMN())&amp;(ROW()-4))</f>
        <v>-6.3505405838594413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1510</v>
      </c>
      <c r="D7" s="43">
        <f t="array" aca="1" ref="D7" ca="1">INDIRECT("'"&amp;$B$3&amp;"'!"&amp;CHAR(64+COLUMN())&amp;(ROW()-4))</f>
        <v>1420</v>
      </c>
      <c r="E7" s="43">
        <f t="array" aca="1" ref="E7" ca="1">INDIRECT("'"&amp;$B$3&amp;"'!"&amp;CHAR(64+COLUMN())&amp;(ROW()-4))</f>
        <v>1430</v>
      </c>
      <c r="F7" s="43">
        <f t="array" aca="1" ref="F7" ca="1">INDIRECT("'"&amp;$B$3&amp;"'!"&amp;CHAR(64+COLUMN())&amp;(ROW()-4))</f>
        <v>9953</v>
      </c>
      <c r="G7" s="43">
        <f t="array" aca="1" ref="G7" ca="1">INDIRECT("'"&amp;$B$3&amp;"'!"&amp;CHAR(64+COLUMN())&amp;(ROW()-4))</f>
        <v>-3.050847457627119</v>
      </c>
      <c r="H7" s="43">
        <f t="array" aca="1" ref="H7" ca="1">INDIRECT("'"&amp;$B$3&amp;"'!"&amp;CHAR(64+COLUMN())&amp;(ROW()-4))</f>
        <v>1456</v>
      </c>
      <c r="I7" s="43">
        <f t="array" aca="1" ref="I7" ca="1">INDIRECT("'"&amp;$B$3&amp;"'!"&amp;CHAR(64+COLUMN())&amp;(ROW()-4))</f>
        <v>1464.5</v>
      </c>
      <c r="J7" s="43">
        <f t="array" aca="1" ref="J7" ca="1">INDIRECT("'"&amp;$B$3&amp;"'!"&amp;CHAR(64+COLUMN())&amp;(ROW()-4))</f>
        <v>1417.5</v>
      </c>
      <c r="K7" s="43">
        <f t="array" aca="1" ref="K7" ca="1">INDIRECT("'"&amp;$B$3&amp;"'!"&amp;CHAR(64+COLUMN())&amp;(ROW()-4))</f>
        <v>46.821266128625368</v>
      </c>
      <c r="L7" s="43">
        <f t="array" aca="1" ref="L7" ca="1">INDIRECT("'"&amp;$B$3&amp;"'!"&amp;CHAR(64+COLUMN())&amp;(ROW()-4))</f>
        <v>51.911098068569792</v>
      </c>
      <c r="M7" s="43">
        <f t="array" aca="1" ref="M7" ca="1">INDIRECT("'"&amp;$B$3&amp;"'!"&amp;CHAR(64+COLUMN())&amp;(ROW()-4))</f>
        <v>43.880270725473068</v>
      </c>
      <c r="N7" s="43">
        <f t="array" aca="1" ref="N7" ca="1">INDIRECT("'"&amp;$B$3&amp;"'!"&amp;CHAR(64+COLUMN())&amp;(ROW()-4))</f>
        <v>53.226061243499267</v>
      </c>
      <c r="O7" s="43">
        <f t="array" aca="1" ref="O7" ca="1">INDIRECT("'"&amp;$B$3&amp;"'!"&amp;CHAR(64+COLUMN())&amp;(ROW()-4))</f>
        <v>-9.4068995545833616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1515</v>
      </c>
      <c r="D8" s="43">
        <f t="array" aca="1" ref="D8" ca="1">INDIRECT("'"&amp;$B$3&amp;"'!"&amp;CHAR(64+COLUMN())&amp;(ROW()-4))</f>
        <v>1490</v>
      </c>
      <c r="E8" s="43">
        <f t="array" aca="1" ref="E8" ca="1">INDIRECT("'"&amp;$B$3&amp;"'!"&amp;CHAR(64+COLUMN())&amp;(ROW()-4))</f>
        <v>1515</v>
      </c>
      <c r="F8" s="43">
        <f t="array" aca="1" ref="F8" ca="1">INDIRECT("'"&amp;$B$3&amp;"'!"&amp;CHAR(64+COLUMN())&amp;(ROW()-4))</f>
        <v>11190</v>
      </c>
      <c r="G8" s="43">
        <f t="array" aca="1" ref="G8" ca="1">INDIRECT("'"&amp;$B$3&amp;"'!"&amp;CHAR(64+COLUMN())&amp;(ROW()-4))</f>
        <v>5.9440559440559442</v>
      </c>
      <c r="H8" s="43">
        <f t="array" aca="1" ref="H8" ca="1">INDIRECT("'"&amp;$B$3&amp;"'!"&amp;CHAR(64+COLUMN())&amp;(ROW()-4))</f>
        <v>1457</v>
      </c>
      <c r="I8" s="43">
        <f t="array" aca="1" ref="I8" ca="1">INDIRECT("'"&amp;$B$3&amp;"'!"&amp;CHAR(64+COLUMN())&amp;(ROW()-4))</f>
        <v>1468.5</v>
      </c>
      <c r="J8" s="43">
        <f t="array" aca="1" ref="J8" ca="1">INDIRECT("'"&amp;$B$3&amp;"'!"&amp;CHAR(64+COLUMN())&amp;(ROW()-4))</f>
        <v>1427.25</v>
      </c>
      <c r="K8" s="43">
        <f t="array" aca="1" ref="K8" ca="1">INDIRECT("'"&amp;$B$3&amp;"'!"&amp;CHAR(64+COLUMN())&amp;(ROW()-4))</f>
        <v>59.241525345951651</v>
      </c>
      <c r="L8" s="43">
        <f t="array" aca="1" ref="L8" ca="1">INDIRECT("'"&amp;$B$3&amp;"'!"&amp;CHAR(64+COLUMN())&amp;(ROW()-4))</f>
        <v>58.246956296684999</v>
      </c>
      <c r="M8" s="43">
        <f t="array" aca="1" ref="M8" ca="1">INDIRECT("'"&amp;$B$3&amp;"'!"&amp;CHAR(64+COLUMN())&amp;(ROW()-4))</f>
        <v>54.253513816982043</v>
      </c>
      <c r="N8" s="43">
        <f t="array" aca="1" ref="N8" ca="1">INDIRECT("'"&amp;$B$3&amp;"'!"&amp;CHAR(64+COLUMN())&amp;(ROW()-4))</f>
        <v>53.568545434660187</v>
      </c>
      <c r="O8" s="43">
        <f t="array" aca="1" ref="O8" ca="1">INDIRECT("'"&amp;$B$3&amp;"'!"&amp;CHAR(64+COLUMN())&amp;(ROW()-4))</f>
        <v>-5.9289345385472387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MA10=2030.0  MA20=1844.3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1665</v>
      </c>
      <c r="D9" s="43">
        <f t="array" aca="1" ref="D9" ca="1">INDIRECT("'"&amp;$B$3&amp;"'!"&amp;CHAR(64+COLUMN())&amp;(ROW()-4))</f>
        <v>1615</v>
      </c>
      <c r="E9" s="43">
        <f t="array" aca="1" ref="E9" ca="1">INDIRECT("'"&amp;$B$3&amp;"'!"&amp;CHAR(64+COLUMN())&amp;(ROW()-4))</f>
        <v>1665</v>
      </c>
      <c r="F9" s="43">
        <f t="array" aca="1" ref="F9" ca="1">INDIRECT("'"&amp;$B$3&amp;"'!"&amp;CHAR(64+COLUMN())&amp;(ROW()-4))</f>
        <v>13400</v>
      </c>
      <c r="G9" s="43">
        <f t="array" aca="1" ref="G9" ca="1">INDIRECT("'"&amp;$B$3&amp;"'!"&amp;CHAR(64+COLUMN())&amp;(ROW()-4))</f>
        <v>9.9009900990099009</v>
      </c>
      <c r="H9" s="43">
        <f t="array" aca="1" ref="H9" ca="1">INDIRECT("'"&amp;$B$3&amp;"'!"&amp;CHAR(64+COLUMN())&amp;(ROW()-4))</f>
        <v>1493</v>
      </c>
      <c r="I9" s="43">
        <f t="array" aca="1" ref="I9" ca="1">INDIRECT("'"&amp;$B$3&amp;"'!"&amp;CHAR(64+COLUMN())&amp;(ROW()-4))</f>
        <v>1494</v>
      </c>
      <c r="J9" s="43">
        <f t="array" aca="1" ref="J9" ca="1">INDIRECT("'"&amp;$B$3&amp;"'!"&amp;CHAR(64+COLUMN())&amp;(ROW()-4))</f>
        <v>1449.5</v>
      </c>
      <c r="K9" s="43">
        <f t="array" aca="1" ref="K9" ca="1">INDIRECT("'"&amp;$B$3&amp;"'!"&amp;CHAR(64+COLUMN())&amp;(ROW()-4))</f>
        <v>72.729346351759872</v>
      </c>
      <c r="L9" s="43">
        <f t="array" aca="1" ref="L9" ca="1">INDIRECT("'"&amp;$B$3&amp;"'!"&amp;CHAR(64+COLUMN())&amp;(ROW()-4))</f>
        <v>66.694608537852702</v>
      </c>
      <c r="M9" s="43">
        <f t="array" aca="1" ref="M9" ca="1">INDIRECT("'"&amp;$B$3&amp;"'!"&amp;CHAR(64+COLUMN())&amp;(ROW()-4))</f>
        <v>69.502342544654681</v>
      </c>
      <c r="N9" s="43">
        <f t="array" aca="1" ref="N9" ca="1">INDIRECT("'"&amp;$B$3&amp;"'!"&amp;CHAR(64+COLUMN())&amp;(ROW()-4))</f>
        <v>58.879811137991688</v>
      </c>
      <c r="O9" s="43">
        <f t="array" aca="1" ref="O9" ca="1">INDIRECT("'"&amp;$B$3&amp;"'!"&amp;CHAR(64+COLUMN())&amp;(ROW()-4))</f>
        <v>5.6239588775543439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🟡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MA金叉:✓  KD金叉:✗(K=83)  RSI6:81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1705</v>
      </c>
      <c r="D10" s="43">
        <f t="array" aca="1" ref="D10" ca="1">INDIRECT("'"&amp;$B$3&amp;"'!"&amp;CHAR(64+COLUMN())&amp;(ROW()-4))</f>
        <v>1635</v>
      </c>
      <c r="E10" s="43">
        <f t="array" aca="1" ref="E10" ca="1">INDIRECT("'"&amp;$B$3&amp;"'!"&amp;CHAR(64+COLUMN())&amp;(ROW()-4))</f>
        <v>1645</v>
      </c>
      <c r="F10" s="43">
        <f t="array" aca="1" ref="F10" ca="1">INDIRECT("'"&amp;$B$3&amp;"'!"&amp;CHAR(64+COLUMN())&amp;(ROW()-4))</f>
        <v>15129</v>
      </c>
      <c r="G10" s="43">
        <f t="array" aca="1" ref="G10" ca="1">INDIRECT("'"&amp;$B$3&amp;"'!"&amp;CHAR(64+COLUMN())&amp;(ROW()-4))</f>
        <v>-1.201201201201201</v>
      </c>
      <c r="H10" s="43">
        <f t="array" aca="1" ref="H10" ca="1">INDIRECT("'"&amp;$B$3&amp;"'!"&amp;CHAR(64+COLUMN())&amp;(ROW()-4))</f>
        <v>1546</v>
      </c>
      <c r="I10" s="43">
        <f t="array" aca="1" ref="I10" ca="1">INDIRECT("'"&amp;$B$3&amp;"'!"&amp;CHAR(64+COLUMN())&amp;(ROW()-4))</f>
        <v>1517</v>
      </c>
      <c r="J10" s="43">
        <f t="array" aca="1" ref="J10" ca="1">INDIRECT("'"&amp;$B$3&amp;"'!"&amp;CHAR(64+COLUMN())&amp;(ROW()-4))</f>
        <v>1467.25</v>
      </c>
      <c r="K10" s="43">
        <f t="array" aca="1" ref="K10" ca="1">INDIRECT("'"&amp;$B$3&amp;"'!"&amp;CHAR(64+COLUMN())&amp;(ROW()-4))</f>
        <v>69.072161592230671</v>
      </c>
      <c r="L10" s="43">
        <f t="array" aca="1" ref="L10" ca="1">INDIRECT("'"&amp;$B$3&amp;"'!"&amp;CHAR(64+COLUMN())&amp;(ROW()-4))</f>
        <v>64.787964924314593</v>
      </c>
      <c r="M10" s="43">
        <f t="array" aca="1" ref="M10" ca="1">INDIRECT("'"&amp;$B$3&amp;"'!"&amp;CHAR(64+COLUMN())&amp;(ROW()-4))</f>
        <v>73.785875421926647</v>
      </c>
      <c r="N10" s="43">
        <f t="array" aca="1" ref="N10" ca="1">INDIRECT("'"&amp;$B$3&amp;"'!"&amp;CHAR(64+COLUMN())&amp;(ROW()-4))</f>
        <v>63.848499232636669</v>
      </c>
      <c r="O10" s="43">
        <f t="array" aca="1" ref="O10" ca="1">INDIRECT("'"&amp;$B$3&amp;"'!"&amp;CHAR(64+COLUMN())&amp;(ROW()-4))</f>
        <v>10.77061822543951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🟡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今量=14,060  5日均=14,440  比值=0.97x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1750</v>
      </c>
      <c r="D11" s="43">
        <f t="array" aca="1" ref="D11" ca="1">INDIRECT("'"&amp;$B$3&amp;"'!"&amp;CHAR(64+COLUMN())&amp;(ROW()-4))</f>
        <v>1675</v>
      </c>
      <c r="E11" s="43">
        <f t="array" aca="1" ref="E11" ca="1">INDIRECT("'"&amp;$B$3&amp;"'!"&amp;CHAR(64+COLUMN())&amp;(ROW()-4))</f>
        <v>1735</v>
      </c>
      <c r="F11" s="43">
        <f t="array" aca="1" ref="F11" ca="1">INDIRECT("'"&amp;$B$3&amp;"'!"&amp;CHAR(64+COLUMN())&amp;(ROW()-4))</f>
        <v>11557</v>
      </c>
      <c r="G11" s="43">
        <f t="array" aca="1" ref="G11" ca="1">INDIRECT("'"&amp;$B$3&amp;"'!"&amp;CHAR(64+COLUMN())&amp;(ROW()-4))</f>
        <v>5.4711246200607899</v>
      </c>
      <c r="H11" s="43">
        <f t="array" aca="1" ref="H11" ca="1">INDIRECT("'"&amp;$B$3&amp;"'!"&amp;CHAR(64+COLUMN())&amp;(ROW()-4))</f>
        <v>1598</v>
      </c>
      <c r="I11" s="43">
        <f t="array" aca="1" ref="I11" ca="1">INDIRECT("'"&amp;$B$3&amp;"'!"&amp;CHAR(64+COLUMN())&amp;(ROW()-4))</f>
        <v>1535.5</v>
      </c>
      <c r="J11" s="43">
        <f t="array" aca="1" ref="J11" ca="1">INDIRECT("'"&amp;$B$3&amp;"'!"&amp;CHAR(64+COLUMN())&amp;(ROW()-4))</f>
        <v>1484</v>
      </c>
      <c r="K11" s="43">
        <f t="array" aca="1" ref="K11" ca="1">INDIRECT("'"&amp;$B$3&amp;"'!"&amp;CHAR(64+COLUMN())&amp;(ROW()-4))</f>
        <v>75.676831596279698</v>
      </c>
      <c r="L11" s="43">
        <f t="array" aca="1" ref="L11" ca="1">INDIRECT("'"&amp;$B$3&amp;"'!"&amp;CHAR(64+COLUMN())&amp;(ROW()-4))</f>
        <v>69.121445302710271</v>
      </c>
      <c r="M11" s="43">
        <f t="array" aca="1" ref="M11" ca="1">INDIRECT("'"&amp;$B$3&amp;"'!"&amp;CHAR(64+COLUMN())&amp;(ROW()-4))</f>
        <v>81.225215649249805</v>
      </c>
      <c r="N11" s="43">
        <f t="array" aca="1" ref="N11" ca="1">INDIRECT("'"&amp;$B$3&amp;"'!"&amp;CHAR(64+COLUMN())&amp;(ROW()-4))</f>
        <v>69.640738038174376</v>
      </c>
      <c r="O11" s="43">
        <f t="array" aca="1" ref="O11" ca="1">INDIRECT("'"&amp;$B$3&amp;"'!"&amp;CHAR(64+COLUMN())&amp;(ROW()-4))</f>
        <v>18.62757238361252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MA10=2030.0  中 -6%=2035.1  鬆 MA20=1844.3  (σ=3.5%)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1760</v>
      </c>
      <c r="D12" s="43">
        <f t="array" aca="1" ref="D12" ca="1">INDIRECT("'"&amp;$B$3&amp;"'!"&amp;CHAR(64+COLUMN())&amp;(ROW()-4))</f>
        <v>1710</v>
      </c>
      <c r="E12" s="43">
        <f t="array" aca="1" ref="E12" ca="1">INDIRECT("'"&amp;$B$3&amp;"'!"&amp;CHAR(64+COLUMN())&amp;(ROW()-4))</f>
        <v>1740</v>
      </c>
      <c r="F12" s="43">
        <f t="array" aca="1" ref="F12" ca="1">INDIRECT("'"&amp;$B$3&amp;"'!"&amp;CHAR(64+COLUMN())&amp;(ROW()-4))</f>
        <v>7069</v>
      </c>
      <c r="G12" s="43">
        <f t="array" aca="1" ref="G12" ca="1">INDIRECT("'"&amp;$B$3&amp;"'!"&amp;CHAR(64+COLUMN())&amp;(ROW()-4))</f>
        <v>0.28818443804034583</v>
      </c>
      <c r="H12" s="43">
        <f t="array" aca="1" ref="H12" ca="1">INDIRECT("'"&amp;$B$3&amp;"'!"&amp;CHAR(64+COLUMN())&amp;(ROW()-4))</f>
        <v>1660</v>
      </c>
      <c r="I12" s="43">
        <f t="array" aca="1" ref="I12" ca="1">INDIRECT("'"&amp;$B$3&amp;"'!"&amp;CHAR(64+COLUMN())&amp;(ROW()-4))</f>
        <v>1558</v>
      </c>
      <c r="J12" s="43">
        <f t="array" aca="1" ref="J12" ca="1">INDIRECT("'"&amp;$B$3&amp;"'!"&amp;CHAR(64+COLUMN())&amp;(ROW()-4))</f>
        <v>1502.5</v>
      </c>
      <c r="K12" s="43">
        <f t="array" aca="1" ref="K12" ca="1">INDIRECT("'"&amp;$B$3&amp;"'!"&amp;CHAR(64+COLUMN())&amp;(ROW()-4))</f>
        <v>76.018253286930872</v>
      </c>
      <c r="L12" s="43">
        <f t="array" aca="1" ref="L12" ca="1">INDIRECT("'"&amp;$B$3&amp;"'!"&amp;CHAR(64+COLUMN())&amp;(ROW()-4))</f>
        <v>69.350053336060526</v>
      </c>
      <c r="M12" s="43">
        <f t="array" aca="1" ref="M12" ca="1">INDIRECT("'"&amp;$B$3&amp;"'!"&amp;CHAR(64+COLUMN())&amp;(ROW()-4))</f>
        <v>85.795713386419692</v>
      </c>
      <c r="N12" s="43">
        <f t="array" aca="1" ref="N12" ca="1">INDIRECT("'"&amp;$B$3&amp;"'!"&amp;CHAR(64+COLUMN())&amp;(ROW()-4))</f>
        <v>75.025729820922805</v>
      </c>
      <c r="O12" s="43">
        <f t="array" aca="1" ref="O12" ca="1">INDIRECT("'"&amp;$B$3&amp;"'!"&amp;CHAR(64+COLUMN())&amp;(ROW()-4))</f>
        <v>22.304454871830831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🟢</v>
      </c>
      <c r="T12" t="str">
        <f ca="1">"收盤="&amp;TEXT(E25,"0.0")&amp;"  MA5="&amp;TEXT(H25,"0.0")&amp;IF(E25&gt;H25,"  守穩",IF(AND(E25&lt;H25,E24&lt;H24),"  連2日跌破","  單日跌破(警示)"))</f>
        <v>收盤=2165.0  MA5=2110.0  守穩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1820</v>
      </c>
      <c r="D13" s="43">
        <f t="array" aca="1" ref="D13" ca="1">INDIRECT("'"&amp;$B$3&amp;"'!"&amp;CHAR(64+COLUMN())&amp;(ROW()-4))</f>
        <v>1750</v>
      </c>
      <c r="E13" s="43">
        <f t="array" aca="1" ref="E13" ca="1">INDIRECT("'"&amp;$B$3&amp;"'!"&amp;CHAR(64+COLUMN())&amp;(ROW()-4))</f>
        <v>1750</v>
      </c>
      <c r="F13" s="43">
        <f t="array" aca="1" ref="F13" ca="1">INDIRECT("'"&amp;$B$3&amp;"'!"&amp;CHAR(64+COLUMN())&amp;(ROW()-4))</f>
        <v>12801</v>
      </c>
      <c r="G13" s="43">
        <f t="array" aca="1" ref="G13" ca="1">INDIRECT("'"&amp;$B$3&amp;"'!"&amp;CHAR(64+COLUMN())&amp;(ROW()-4))</f>
        <v>0.57471264367816088</v>
      </c>
      <c r="H13" s="43">
        <f t="array" aca="1" ref="H13" ca="1">INDIRECT("'"&amp;$B$3&amp;"'!"&amp;CHAR(64+COLUMN())&amp;(ROW()-4))</f>
        <v>1707</v>
      </c>
      <c r="I13" s="43">
        <f t="array" aca="1" ref="I13" ca="1">INDIRECT("'"&amp;$B$3&amp;"'!"&amp;CHAR(64+COLUMN())&amp;(ROW()-4))</f>
        <v>1582</v>
      </c>
      <c r="J13" s="43">
        <f t="array" aca="1" ref="J13" ca="1">INDIRECT("'"&amp;$B$3&amp;"'!"&amp;CHAR(64+COLUMN())&amp;(ROW()-4))</f>
        <v>1520.75</v>
      </c>
      <c r="K13" s="43">
        <f t="array" aca="1" ref="K13" ca="1">INDIRECT("'"&amp;$B$3&amp;"'!"&amp;CHAR(64+COLUMN())&amp;(ROW()-4))</f>
        <v>76.79983306345251</v>
      </c>
      <c r="L13" s="43">
        <f t="array" aca="1" ref="L13" ca="1">INDIRECT("'"&amp;$B$3&amp;"'!"&amp;CHAR(64+COLUMN())&amp;(ROW()-4))</f>
        <v>69.837271758022951</v>
      </c>
      <c r="M13" s="43">
        <f t="array" aca="1" ref="M13" ca="1">INDIRECT("'"&amp;$B$3&amp;"'!"&amp;CHAR(64+COLUMN())&amp;(ROW()-4))</f>
        <v>85.402270462741328</v>
      </c>
      <c r="N13" s="43">
        <f t="array" aca="1" ref="N13" ca="1">INDIRECT("'"&amp;$B$3&amp;"'!"&amp;CHAR(64+COLUMN())&amp;(ROW()-4))</f>
        <v>78.484576701528965</v>
      </c>
      <c r="O13" s="43">
        <f t="array" aca="1" ref="O13" ca="1">INDIRECT("'"&amp;$B$3&amp;"'!"&amp;CHAR(64+COLUMN())&amp;(ROW()-4))</f>
        <v>23.436853117682968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🟡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KD高死叉:✓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1835</v>
      </c>
      <c r="D14" s="43">
        <f t="array" aca="1" ref="D14" ca="1">INDIRECT("'"&amp;$B$3&amp;"'!"&amp;CHAR(64+COLUMN())&amp;(ROW()-4))</f>
        <v>1785</v>
      </c>
      <c r="E14" s="43">
        <f t="array" aca="1" ref="E14" ca="1">INDIRECT("'"&amp;$B$3&amp;"'!"&amp;CHAR(64+COLUMN())&amp;(ROW()-4))</f>
        <v>1785</v>
      </c>
      <c r="F14" s="43">
        <f t="array" aca="1" ref="F14" ca="1">INDIRECT("'"&amp;$B$3&amp;"'!"&amp;CHAR(64+COLUMN())&amp;(ROW()-4))</f>
        <v>12877</v>
      </c>
      <c r="G14" s="43">
        <f t="array" aca="1" ref="G14" ca="1">INDIRECT("'"&amp;$B$3&amp;"'!"&amp;CHAR(64+COLUMN())&amp;(ROW()-4))</f>
        <v>2</v>
      </c>
      <c r="H14" s="43">
        <f t="array" aca="1" ref="H14" ca="1">INDIRECT("'"&amp;$B$3&amp;"'!"&amp;CHAR(64+COLUMN())&amp;(ROW()-4))</f>
        <v>1731</v>
      </c>
      <c r="I14" s="43">
        <f t="array" aca="1" ref="I14" ca="1">INDIRECT("'"&amp;$B$3&amp;"'!"&amp;CHAR(64+COLUMN())&amp;(ROW()-4))</f>
        <v>1612</v>
      </c>
      <c r="J14" s="43">
        <f t="array" aca="1" ref="J14" ca="1">INDIRECT("'"&amp;$B$3&amp;"'!"&amp;CHAR(64+COLUMN())&amp;(ROW()-4))</f>
        <v>1542</v>
      </c>
      <c r="K14" s="43">
        <f t="array" aca="1" ref="K14" ca="1">INDIRECT("'"&amp;$B$3&amp;"'!"&amp;CHAR(64+COLUMN())&amp;(ROW()-4))</f>
        <v>79.593136137258966</v>
      </c>
      <c r="L14" s="43">
        <f t="array" aca="1" ref="L14" ca="1">INDIRECT("'"&amp;$B$3&amp;"'!"&amp;CHAR(64+COLUMN())&amp;(ROW()-4))</f>
        <v>71.563232113868381</v>
      </c>
      <c r="M14" s="43">
        <f t="array" aca="1" ref="M14" ca="1">INDIRECT("'"&amp;$B$3&amp;"'!"&amp;CHAR(64+COLUMN())&amp;(ROW()-4))</f>
        <v>86.252116051466089</v>
      </c>
      <c r="N14" s="43">
        <f t="array" aca="1" ref="N14" ca="1">INDIRECT("'"&amp;$B$3&amp;"'!"&amp;CHAR(64+COLUMN())&amp;(ROW()-4))</f>
        <v>81.07375648484134</v>
      </c>
      <c r="O14" s="43">
        <f t="array" aca="1" ref="O14" ca="1">INDIRECT("'"&amp;$B$3&amp;"'!"&amp;CHAR(64+COLUMN())&amp;(ROW()-4))</f>
        <v>24.4570800144228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1845</v>
      </c>
      <c r="D15" s="43">
        <f t="array" aca="1" ref="D15" ca="1">INDIRECT("'"&amp;$B$3&amp;"'!"&amp;CHAR(64+COLUMN())&amp;(ROW()-4))</f>
        <v>1785</v>
      </c>
      <c r="E15" s="43">
        <f t="array" aca="1" ref="E15" ca="1">INDIRECT("'"&amp;$B$3&amp;"'!"&amp;CHAR(64+COLUMN())&amp;(ROW()-4))</f>
        <v>1845</v>
      </c>
      <c r="F15" s="43">
        <f t="array" aca="1" ref="F15" ca="1">INDIRECT("'"&amp;$B$3&amp;"'!"&amp;CHAR(64+COLUMN())&amp;(ROW()-4))</f>
        <v>13254</v>
      </c>
      <c r="G15" s="43">
        <f t="array" aca="1" ref="G15" ca="1">INDIRECT("'"&amp;$B$3&amp;"'!"&amp;CHAR(64+COLUMN())&amp;(ROW()-4))</f>
        <v>3.3613445378151261</v>
      </c>
      <c r="H15" s="43">
        <f t="array" aca="1" ref="H15" ca="1">INDIRECT("'"&amp;$B$3&amp;"'!"&amp;CHAR(64+COLUMN())&amp;(ROW()-4))</f>
        <v>1771</v>
      </c>
      <c r="I15" s="43">
        <f t="array" aca="1" ref="I15" ca="1">INDIRECT("'"&amp;$B$3&amp;"'!"&amp;CHAR(64+COLUMN())&amp;(ROW()-4))</f>
        <v>1658.5</v>
      </c>
      <c r="J15" s="43">
        <f t="array" aca="1" ref="J15" ca="1">INDIRECT("'"&amp;$B$3&amp;"'!"&amp;CHAR(64+COLUMN())&amp;(ROW()-4))</f>
        <v>1562.25</v>
      </c>
      <c r="K15" s="43">
        <f t="array" aca="1" ref="K15" ca="1">INDIRECT("'"&amp;$B$3&amp;"'!"&amp;CHAR(64+COLUMN())&amp;(ROW()-4))</f>
        <v>83.644155914396009</v>
      </c>
      <c r="L15" s="43">
        <f t="array" aca="1" ref="L15" ca="1">INDIRECT("'"&amp;$B$3&amp;"'!"&amp;CHAR(64+COLUMN())&amp;(ROW()-4))</f>
        <v>74.312138285585334</v>
      </c>
      <c r="M15" s="43">
        <f t="array" aca="1" ref="M15" ca="1">INDIRECT("'"&amp;$B$3&amp;"'!"&amp;CHAR(64+COLUMN())&amp;(ROW()-4))</f>
        <v>90.834744034310717</v>
      </c>
      <c r="N15" s="43">
        <f t="array" aca="1" ref="N15" ca="1">INDIRECT("'"&amp;$B$3&amp;"'!"&amp;CHAR(64+COLUMN())&amp;(ROW()-4))</f>
        <v>84.327419001331123</v>
      </c>
      <c r="O15" s="43">
        <f t="array" aca="1" ref="O15" ca="1">INDIRECT("'"&amp;$B$3&amp;"'!"&amp;CHAR(64+COLUMN())&amp;(ROW()-4))</f>
        <v>26.893217065816771</v>
      </c>
      <c r="Q15" s="49" t="s">
        <v>46</v>
      </c>
      <c r="R15" s="50" t="str">
        <f ca="1">"通過 "&amp;(COUNTIF(S7:S13,"🟢"))&amp;" / 7  警示 "&amp;COUNTIF(S7:S13,"🟡")&amp;"  危險 "&amp;COUNTIF(S7:S13,"🔴")</f>
        <v>通過 3 / 7  警示 3  危險 0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🟡 等待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1870</v>
      </c>
      <c r="D16" s="43">
        <f t="array" aca="1" ref="D16" ca="1">INDIRECT("'"&amp;$B$3&amp;"'!"&amp;CHAR(64+COLUMN())&amp;(ROW()-4))</f>
        <v>1830</v>
      </c>
      <c r="E16" s="43">
        <f t="array" aca="1" ref="E16" ca="1">INDIRECT("'"&amp;$B$3&amp;"'!"&amp;CHAR(64+COLUMN())&amp;(ROW()-4))</f>
        <v>1840</v>
      </c>
      <c r="F16" s="43">
        <f t="array" aca="1" ref="F16" ca="1">INDIRECT("'"&amp;$B$3&amp;"'!"&amp;CHAR(64+COLUMN())&amp;(ROW()-4))</f>
        <v>10769</v>
      </c>
      <c r="G16" s="43">
        <f t="array" aca="1" ref="G16" ca="1">INDIRECT("'"&amp;$B$3&amp;"'!"&amp;CHAR(64+COLUMN())&amp;(ROW()-4))</f>
        <v>-0.27100271002710019</v>
      </c>
      <c r="H16" s="43">
        <f t="array" aca="1" ref="H16" ca="1">INDIRECT("'"&amp;$B$3&amp;"'!"&amp;CHAR(64+COLUMN())&amp;(ROW()-4))</f>
        <v>1792</v>
      </c>
      <c r="I16" s="43">
        <f t="array" aca="1" ref="I16" ca="1">INDIRECT("'"&amp;$B$3&amp;"'!"&amp;CHAR(64+COLUMN())&amp;(ROW()-4))</f>
        <v>1695</v>
      </c>
      <c r="J16" s="43">
        <f t="array" aca="1" ref="J16" ca="1">INDIRECT("'"&amp;$B$3&amp;"'!"&amp;CHAR(64+COLUMN())&amp;(ROW()-4))</f>
        <v>1581</v>
      </c>
      <c r="K16" s="43">
        <f t="array" aca="1" ref="K16" ca="1">INDIRECT("'"&amp;$B$3&amp;"'!"&amp;CHAR(64+COLUMN())&amp;(ROW()-4))</f>
        <v>82.016034224937442</v>
      </c>
      <c r="L16" s="43">
        <f t="array" aca="1" ref="L16" ca="1">INDIRECT("'"&amp;$B$3&amp;"'!"&amp;CHAR(64+COLUMN())&amp;(ROW()-4))</f>
        <v>73.664776773888576</v>
      </c>
      <c r="M16" s="43">
        <f t="array" aca="1" ref="M16" ca="1">INDIRECT("'"&amp;$B$3&amp;"'!"&amp;CHAR(64+COLUMN())&amp;(ROW()-4))</f>
        <v>91.25825040883872</v>
      </c>
      <c r="N16" s="43">
        <f t="array" aca="1" ref="N16" ca="1">INDIRECT("'"&amp;$B$3&amp;"'!"&amp;CHAR(64+COLUMN())&amp;(ROW()-4))</f>
        <v>86.637696137166984</v>
      </c>
      <c r="O16" s="43">
        <f t="array" aca="1" ref="O16" ca="1">INDIRECT("'"&amp;$B$3&amp;"'!"&amp;CHAR(64+COLUMN())&amp;(ROW()-4))</f>
        <v>25.879669611870849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1980</v>
      </c>
      <c r="D17" s="43">
        <f t="array" aca="1" ref="D17" ca="1">INDIRECT("'"&amp;$B$3&amp;"'!"&amp;CHAR(64+COLUMN())&amp;(ROW()-4))</f>
        <v>1860</v>
      </c>
      <c r="E17" s="43">
        <f t="array" aca="1" ref="E17" ca="1">INDIRECT("'"&amp;$B$3&amp;"'!"&amp;CHAR(64+COLUMN())&amp;(ROW()-4))</f>
        <v>1900</v>
      </c>
      <c r="F17" s="43">
        <f t="array" aca="1" ref="F17" ca="1">INDIRECT("'"&amp;$B$3&amp;"'!"&amp;CHAR(64+COLUMN())&amp;(ROW()-4))</f>
        <v>12064</v>
      </c>
      <c r="G17" s="43">
        <f t="array" aca="1" ref="G17" ca="1">INDIRECT("'"&amp;$B$3&amp;"'!"&amp;CHAR(64+COLUMN())&amp;(ROW()-4))</f>
        <v>3.2608695652173911</v>
      </c>
      <c r="H17" s="43">
        <f t="array" aca="1" ref="H17" ca="1">INDIRECT("'"&amp;$B$3&amp;"'!"&amp;CHAR(64+COLUMN())&amp;(ROW()-4))</f>
        <v>1824</v>
      </c>
      <c r="I17" s="43">
        <f t="array" aca="1" ref="I17" ca="1">INDIRECT("'"&amp;$B$3&amp;"'!"&amp;CHAR(64+COLUMN())&amp;(ROW()-4))</f>
        <v>1742</v>
      </c>
      <c r="J17" s="43">
        <f t="array" aca="1" ref="J17" ca="1">INDIRECT("'"&amp;$B$3&amp;"'!"&amp;CHAR(64+COLUMN())&amp;(ROW()-4))</f>
        <v>1603.25</v>
      </c>
      <c r="K17" s="43">
        <f t="array" aca="1" ref="K17" ca="1">INDIRECT("'"&amp;$B$3&amp;"'!"&amp;CHAR(64+COLUMN())&amp;(ROW()-4))</f>
        <v>85.953252744987267</v>
      </c>
      <c r="L17" s="43">
        <f t="array" aca="1" ref="L17" ca="1">INDIRECT("'"&amp;$B$3&amp;"'!"&amp;CHAR(64+COLUMN())&amp;(ROW()-4))</f>
        <v>76.360610936681212</v>
      </c>
      <c r="M17" s="43">
        <f t="array" aca="1" ref="M17" ca="1">INDIRECT("'"&amp;$B$3&amp;"'!"&amp;CHAR(64+COLUMN())&amp;(ROW()-4))</f>
        <v>86.866230866166447</v>
      </c>
      <c r="N17" s="43">
        <f t="array" aca="1" ref="N17" ca="1">INDIRECT("'"&amp;$B$3&amp;"'!"&amp;CHAR(64+COLUMN())&amp;(ROW()-4))</f>
        <v>86.7138743801668</v>
      </c>
      <c r="O17" s="43">
        <f t="array" aca="1" ref="O17" ca="1">INDIRECT("'"&amp;$B$3&amp;"'!"&amp;CHAR(64+COLUMN())&amp;(ROW()-4))</f>
        <v>26.846221720000131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2035</v>
      </c>
      <c r="D18" s="43">
        <f t="array" aca="1" ref="D18" ca="1">INDIRECT("'"&amp;$B$3&amp;"'!"&amp;CHAR(64+COLUMN())&amp;(ROW()-4))</f>
        <v>1930</v>
      </c>
      <c r="E18" s="43">
        <f t="array" aca="1" ref="E18" ca="1">INDIRECT("'"&amp;$B$3&amp;"'!"&amp;CHAR(64+COLUMN())&amp;(ROW()-4))</f>
        <v>2015</v>
      </c>
      <c r="F18" s="43">
        <f t="array" aca="1" ref="F18" ca="1">INDIRECT("'"&amp;$B$3&amp;"'!"&amp;CHAR(64+COLUMN())&amp;(ROW()-4))</f>
        <v>11917</v>
      </c>
      <c r="G18" s="43">
        <f t="array" aca="1" ref="G18" ca="1">INDIRECT("'"&amp;$B$3&amp;"'!"&amp;CHAR(64+COLUMN())&amp;(ROW()-4))</f>
        <v>6.0526315789473681</v>
      </c>
      <c r="H18" s="43">
        <f t="array" aca="1" ref="H18" ca="1">INDIRECT("'"&amp;$B$3&amp;"'!"&amp;CHAR(64+COLUMN())&amp;(ROW()-4))</f>
        <v>1877</v>
      </c>
      <c r="I18" s="43">
        <f t="array" aca="1" ref="I18" ca="1">INDIRECT("'"&amp;$B$3&amp;"'!"&amp;CHAR(64+COLUMN())&amp;(ROW()-4))</f>
        <v>1792</v>
      </c>
      <c r="J18" s="43">
        <f t="array" aca="1" ref="J18" ca="1">INDIRECT("'"&amp;$B$3&amp;"'!"&amp;CHAR(64+COLUMN())&amp;(ROW()-4))</f>
        <v>1630.25</v>
      </c>
      <c r="K18" s="43">
        <f t="array" aca="1" ref="K18" ca="1">INDIRECT("'"&amp;$B$3&amp;"'!"&amp;CHAR(64+COLUMN())&amp;(ROW()-4))</f>
        <v>90.657534971808985</v>
      </c>
      <c r="L18" s="43">
        <f t="array" aca="1" ref="L18" ca="1">INDIRECT("'"&amp;$B$3&amp;"'!"&amp;CHAR(64+COLUMN())&amp;(ROW()-4))</f>
        <v>80.52829904331297</v>
      </c>
      <c r="M18" s="43">
        <f t="array" aca="1" ref="M18" ca="1">INDIRECT("'"&amp;$B$3&amp;"'!"&amp;CHAR(64+COLUMN())&amp;(ROW()-4))</f>
        <v>89.577487244110955</v>
      </c>
      <c r="N18" s="43">
        <f t="array" aca="1" ref="N18" ca="1">INDIRECT("'"&amp;$B$3&amp;"'!"&amp;CHAR(64+COLUMN())&amp;(ROW()-4))</f>
        <v>87.668412001481514</v>
      </c>
      <c r="O18" s="43">
        <f t="array" aca="1" ref="O18" ca="1">INDIRECT("'"&amp;$B$3&amp;"'!"&amp;CHAR(64+COLUMN())&amp;(ROW()-4))</f>
        <v>32.451977154314221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2045</v>
      </c>
      <c r="D19" s="43">
        <f t="array" aca="1" ref="D19" ca="1">INDIRECT("'"&amp;$B$3&amp;"'!"&amp;CHAR(64+COLUMN())&amp;(ROW()-4))</f>
        <v>1995</v>
      </c>
      <c r="E19" s="43">
        <f t="array" aca="1" ref="E19" ca="1">INDIRECT("'"&amp;$B$3&amp;"'!"&amp;CHAR(64+COLUMN())&amp;(ROW()-4))</f>
        <v>2015</v>
      </c>
      <c r="F19" s="43">
        <f t="array" aca="1" ref="F19" ca="1">INDIRECT("'"&amp;$B$3&amp;"'!"&amp;CHAR(64+COLUMN())&amp;(ROW()-4))</f>
        <v>10968</v>
      </c>
      <c r="G19" s="43">
        <f t="array" aca="1" ref="G19" ca="1">INDIRECT("'"&amp;$B$3&amp;"'!"&amp;CHAR(64+COLUMN())&amp;(ROW()-4))</f>
        <v>0</v>
      </c>
      <c r="H19" s="43">
        <f t="array" aca="1" ref="H19" ca="1">INDIRECT("'"&amp;$B$3&amp;"'!"&amp;CHAR(64+COLUMN())&amp;(ROW()-4))</f>
        <v>1923</v>
      </c>
      <c r="I19" s="43">
        <f t="array" aca="1" ref="I19" ca="1">INDIRECT("'"&amp;$B$3&amp;"'!"&amp;CHAR(64+COLUMN())&amp;(ROW()-4))</f>
        <v>1827</v>
      </c>
      <c r="J19" s="43">
        <f t="array" aca="1" ref="J19" ca="1">INDIRECT("'"&amp;$B$3&amp;"'!"&amp;CHAR(64+COLUMN())&amp;(ROW()-4))</f>
        <v>1660.5</v>
      </c>
      <c r="K19" s="43">
        <f t="array" aca="1" ref="K19" ca="1">INDIRECT("'"&amp;$B$3&amp;"'!"&amp;CHAR(64+COLUMN())&amp;(ROW()-4))</f>
        <v>90.657534971808985</v>
      </c>
      <c r="L19" s="43">
        <f t="array" aca="1" ref="L19" ca="1">INDIRECT("'"&amp;$B$3&amp;"'!"&amp;CHAR(64+COLUMN())&amp;(ROW()-4))</f>
        <v>80.52829904331297</v>
      </c>
      <c r="M19" s="43">
        <f t="array" aca="1" ref="M19" ca="1">INDIRECT("'"&amp;$B$3&amp;"'!"&amp;CHAR(64+COLUMN())&amp;(ROW()-4))</f>
        <v>90.348955460037928</v>
      </c>
      <c r="N19" s="43">
        <f t="array" aca="1" ref="N19" ca="1">INDIRECT("'"&amp;$B$3&amp;"'!"&amp;CHAR(64+COLUMN())&amp;(ROW()-4))</f>
        <v>88.56192648766698</v>
      </c>
      <c r="O19" s="43">
        <f t="array" aca="1" ref="O19" ca="1">INDIRECT("'"&amp;$B$3&amp;"'!"&amp;CHAR(64+COLUMN())&amp;(ROW()-4))</f>
        <v>33.258636434912731</v>
      </c>
      <c r="Q19" s="65" t="s">
        <v>103</v>
      </c>
      <c r="R19" s="53" t="s">
        <v>104</v>
      </c>
      <c r="S19" s="38" t="str">
        <f ca="1">IF(LEFT($S$15,1)="🟢",ROUND(E25*(1-N32*1.2),1),"—")</f>
        <v>—</v>
      </c>
      <c r="T19" s="38" t="str">
        <f ca="1">IF(LEFT($S$15,1)="🟢",ROUND(E25*(1-N32*0.8),1),"—")</f>
        <v>—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2115</v>
      </c>
      <c r="D20" s="43">
        <f t="array" aca="1" ref="D20" ca="1">INDIRECT("'"&amp;$B$3&amp;"'!"&amp;CHAR(64+COLUMN())&amp;(ROW()-4))</f>
        <v>1935</v>
      </c>
      <c r="E20" s="43">
        <f t="array" aca="1" ref="E20" ca="1">INDIRECT("'"&amp;$B$3&amp;"'!"&amp;CHAR(64+COLUMN())&amp;(ROW()-4))</f>
        <v>1980</v>
      </c>
      <c r="F20" s="43">
        <f t="array" aca="1" ref="F20" ca="1">INDIRECT("'"&amp;$B$3&amp;"'!"&amp;CHAR(64+COLUMN())&amp;(ROW()-4))</f>
        <v>17431</v>
      </c>
      <c r="G20" s="43">
        <f t="array" aca="1" ref="G20" ca="1">INDIRECT("'"&amp;$B$3&amp;"'!"&amp;CHAR(64+COLUMN())&amp;(ROW()-4))</f>
        <v>-1.7369727047146399</v>
      </c>
      <c r="H20" s="43">
        <f t="array" aca="1" ref="H20" ca="1">INDIRECT("'"&amp;$B$3&amp;"'!"&amp;CHAR(64+COLUMN())&amp;(ROW()-4))</f>
        <v>1950</v>
      </c>
      <c r="I20" s="43">
        <f t="array" aca="1" ref="I20" ca="1">INDIRECT("'"&amp;$B$3&amp;"'!"&amp;CHAR(64+COLUMN())&amp;(ROW()-4))</f>
        <v>1860.5</v>
      </c>
      <c r="J20" s="43">
        <f t="array" aca="1" ref="J20" ca="1">INDIRECT("'"&amp;$B$3&amp;"'!"&amp;CHAR(64+COLUMN())&amp;(ROW()-4))</f>
        <v>1688.75</v>
      </c>
      <c r="K20" s="43">
        <f t="array" aca="1" ref="K20" ca="1">INDIRECT("'"&amp;$B$3&amp;"'!"&amp;CHAR(64+COLUMN())&amp;(ROW()-4))</f>
        <v>79.054376717081212</v>
      </c>
      <c r="L20" s="43">
        <f t="array" aca="1" ref="L20" ca="1">INDIRECT("'"&amp;$B$3&amp;"'!"&amp;CHAR(64+COLUMN())&amp;(ROW()-4))</f>
        <v>75.694688093863959</v>
      </c>
      <c r="M20" s="43">
        <f t="array" aca="1" ref="M20" ca="1">INDIRECT("'"&amp;$B$3&amp;"'!"&amp;CHAR(64+COLUMN())&amp;(ROW()-4))</f>
        <v>82.454859195580838</v>
      </c>
      <c r="N20" s="43">
        <f t="array" aca="1" ref="N20" ca="1">INDIRECT("'"&amp;$B$3&amp;"'!"&amp;CHAR(64+COLUMN())&amp;(ROW()-4))</f>
        <v>86.526237390304928</v>
      </c>
      <c r="O20" s="43">
        <f t="array" aca="1" ref="O20" ca="1">INDIRECT("'"&amp;$B$3&amp;"'!"&amp;CHAR(64+COLUMN())&amp;(ROW()-4))</f>
        <v>28.705607414290771</v>
      </c>
      <c r="Q20" s="82" t="s">
        <v>105</v>
      </c>
      <c r="R20" s="54" t="s">
        <v>106</v>
      </c>
      <c r="S20" s="55" t="str">
        <f ca="1">IF(LEFT($S$15,1)="🟢",ROUND(E25*(1-N32*1.8),1),"—")</f>
        <v>—</v>
      </c>
      <c r="T20" s="55" t="str">
        <f ca="1">IF(LEFT($S$15,1)="🟢",ROUND(E25*(1-N32*1.4),1),"—")</f>
        <v>—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2090</v>
      </c>
      <c r="D21" s="43">
        <f t="array" aca="1" ref="D21" ca="1">INDIRECT("'"&amp;$B$3&amp;"'!"&amp;CHAR(64+COLUMN())&amp;(ROW()-4))</f>
        <v>1990</v>
      </c>
      <c r="E21" s="43">
        <f t="array" aca="1" ref="E21" ca="1">INDIRECT("'"&amp;$B$3&amp;"'!"&amp;CHAR(64+COLUMN())&amp;(ROW()-4))</f>
        <v>2075</v>
      </c>
      <c r="F21" s="43">
        <f t="array" aca="1" ref="F21" ca="1">INDIRECT("'"&amp;$B$3&amp;"'!"&amp;CHAR(64+COLUMN())&amp;(ROW()-4))</f>
        <v>11571</v>
      </c>
      <c r="G21" s="43">
        <f t="array" aca="1" ref="G21" ca="1">INDIRECT("'"&amp;$B$3&amp;"'!"&amp;CHAR(64+COLUMN())&amp;(ROW()-4))</f>
        <v>4.7979797979797976</v>
      </c>
      <c r="H21" s="43">
        <f t="array" aca="1" ref="H21" ca="1">INDIRECT("'"&amp;$B$3&amp;"'!"&amp;CHAR(64+COLUMN())&amp;(ROW()-4))</f>
        <v>1997</v>
      </c>
      <c r="I21" s="43">
        <f t="array" aca="1" ref="I21" ca="1">INDIRECT("'"&amp;$B$3&amp;"'!"&amp;CHAR(64+COLUMN())&amp;(ROW()-4))</f>
        <v>1894.5</v>
      </c>
      <c r="J21" s="43">
        <f t="array" aca="1" ref="J21" ca="1">INDIRECT("'"&amp;$B$3&amp;"'!"&amp;CHAR(64+COLUMN())&amp;(ROW()-4))</f>
        <v>1715</v>
      </c>
      <c r="K21" s="43">
        <f t="array" aca="1" ref="K21" ca="1">INDIRECT("'"&amp;$B$3&amp;"'!"&amp;CHAR(64+COLUMN())&amp;(ROW()-4))</f>
        <v>85.217060820243191</v>
      </c>
      <c r="L21" s="43">
        <f t="array" aca="1" ref="L21" ca="1">INDIRECT("'"&amp;$B$3&amp;"'!"&amp;CHAR(64+COLUMN())&amp;(ROW()-4))</f>
        <v>79.362624189246986</v>
      </c>
      <c r="M21" s="43">
        <f t="array" aca="1" ref="M21" ca="1">INDIRECT("'"&amp;$B$3&amp;"'!"&amp;CHAR(64+COLUMN())&amp;(ROW()-4))</f>
        <v>84.650271427190873</v>
      </c>
      <c r="N21" s="43">
        <f t="array" aca="1" ref="N21" ca="1">INDIRECT("'"&amp;$B$3&amp;"'!"&amp;CHAR(64+COLUMN())&amp;(ROW()-4))</f>
        <v>85.900915402600248</v>
      </c>
      <c r="O21" s="43">
        <f t="array" aca="1" ref="O21" ca="1">INDIRECT("'"&amp;$B$3&amp;"'!"&amp;CHAR(64+COLUMN())&amp;(ROW()-4))</f>
        <v>29.26277731611782</v>
      </c>
      <c r="Q21" s="83" t="s">
        <v>107</v>
      </c>
      <c r="R21" s="56" t="s">
        <v>108</v>
      </c>
      <c r="S21" s="57" t="str">
        <f ca="1">IF(LEFT($S$15,1)="🟢",ROUND(E25*(1-N32*2.4),1),"—")</f>
        <v>—</v>
      </c>
      <c r="T21" s="57" t="str">
        <f ca="1">IF(LEFT($S$15,1)="🟢",ROUND(E25*(1-N32*2),1),"—")</f>
        <v>—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2080</v>
      </c>
      <c r="D22" s="43">
        <f t="array" aca="1" ref="D22" ca="1">INDIRECT("'"&amp;$B$3&amp;"'!"&amp;CHAR(64+COLUMN())&amp;(ROW()-4))</f>
        <v>1995</v>
      </c>
      <c r="E22" s="43">
        <f t="array" aca="1" ref="E22" ca="1">INDIRECT("'"&amp;$B$3&amp;"'!"&amp;CHAR(64+COLUMN())&amp;(ROW()-4))</f>
        <v>2020</v>
      </c>
      <c r="F22" s="43">
        <f t="array" aca="1" ref="F22" ca="1">INDIRECT("'"&amp;$B$3&amp;"'!"&amp;CHAR(64+COLUMN())&amp;(ROW()-4))</f>
        <v>15898</v>
      </c>
      <c r="G22" s="43">
        <f t="array" aca="1" ref="G22" ca="1">INDIRECT("'"&amp;$B$3&amp;"'!"&amp;CHAR(64+COLUMN())&amp;(ROW()-4))</f>
        <v>-2.6506024096385539</v>
      </c>
      <c r="H22" s="43">
        <f t="array" aca="1" ref="H22" ca="1">INDIRECT("'"&amp;$B$3&amp;"'!"&amp;CHAR(64+COLUMN())&amp;(ROW()-4))</f>
        <v>2021</v>
      </c>
      <c r="I22" s="43">
        <f t="array" aca="1" ref="I22" ca="1">INDIRECT("'"&amp;$B$3&amp;"'!"&amp;CHAR(64+COLUMN())&amp;(ROW()-4))</f>
        <v>1922.5</v>
      </c>
      <c r="J22" s="43">
        <f t="array" aca="1" ref="J22" ca="1">INDIRECT("'"&amp;$B$3&amp;"'!"&amp;CHAR(64+COLUMN())&amp;(ROW()-4))</f>
        <v>1740.25</v>
      </c>
      <c r="K22" s="43">
        <f t="array" aca="1" ref="K22" ca="1">INDIRECT("'"&amp;$B$3&amp;"'!"&amp;CHAR(64+COLUMN())&amp;(ROW()-4))</f>
        <v>70.754339176323469</v>
      </c>
      <c r="L22" s="43">
        <f t="array" aca="1" ref="L22" ca="1">INDIRECT("'"&amp;$B$3&amp;"'!"&amp;CHAR(64+COLUMN())&amp;(ROW()-4))</f>
        <v>72.456628123268445</v>
      </c>
      <c r="M22" s="43">
        <f t="array" aca="1" ref="M22" ca="1">INDIRECT("'"&amp;$B$3&amp;"'!"&amp;CHAR(64+COLUMN())&amp;(ROW()-4))</f>
        <v>80.170888022167645</v>
      </c>
      <c r="N22" s="43">
        <f t="array" aca="1" ref="N22" ca="1">INDIRECT("'"&amp;$B$3&amp;"'!"&amp;CHAR(64+COLUMN())&amp;(ROW()-4))</f>
        <v>83.990906275789371</v>
      </c>
      <c r="O22" s="43">
        <f t="array" aca="1" ref="O22" ca="1">INDIRECT("'"&amp;$B$3&amp;"'!"&amp;CHAR(64+COLUMN())&amp;(ROW()-4))</f>
        <v>23.35436777319325</v>
      </c>
      <c r="Q22" s="82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2160</v>
      </c>
      <c r="D23" s="43">
        <f t="array" aca="1" ref="D23" ca="1">INDIRECT("'"&amp;$B$3&amp;"'!"&amp;CHAR(64+COLUMN())&amp;(ROW()-4))</f>
        <v>2030</v>
      </c>
      <c r="E23" s="43">
        <f t="array" aca="1" ref="E23" ca="1">INDIRECT("'"&amp;$B$3&amp;"'!"&amp;CHAR(64+COLUMN())&amp;(ROW()-4))</f>
        <v>2125</v>
      </c>
      <c r="F23" s="43">
        <f t="array" aca="1" ref="F23" ca="1">INDIRECT("'"&amp;$B$3&amp;"'!"&amp;CHAR(64+COLUMN())&amp;(ROW()-4))</f>
        <v>15038</v>
      </c>
      <c r="G23" s="43">
        <f t="array" aca="1" ref="G23" ca="1">INDIRECT("'"&amp;$B$3&amp;"'!"&amp;CHAR(64+COLUMN())&amp;(ROW()-4))</f>
        <v>5.1980198019801982</v>
      </c>
      <c r="H23" s="43">
        <f t="array" aca="1" ref="H23" ca="1">INDIRECT("'"&amp;$B$3&amp;"'!"&amp;CHAR(64+COLUMN())&amp;(ROW()-4))</f>
        <v>2043</v>
      </c>
      <c r="I23" s="43">
        <f t="array" aca="1" ref="I23" ca="1">INDIRECT("'"&amp;$B$3&amp;"'!"&amp;CHAR(64+COLUMN())&amp;(ROW()-4))</f>
        <v>1960</v>
      </c>
      <c r="J23" s="43">
        <f t="array" aca="1" ref="J23" ca="1">INDIRECT("'"&amp;$B$3&amp;"'!"&amp;CHAR(64+COLUMN())&amp;(ROW()-4))</f>
        <v>1771</v>
      </c>
      <c r="K23" s="43">
        <f t="array" aca="1" ref="K23" ca="1">INDIRECT("'"&amp;$B$3&amp;"'!"&amp;CHAR(64+COLUMN())&amp;(ROW()-4))</f>
        <v>78.941845384178492</v>
      </c>
      <c r="L23" s="43">
        <f t="array" aca="1" ref="L23" ca="1">INDIRECT("'"&amp;$B$3&amp;"'!"&amp;CHAR(64+COLUMN())&amp;(ROW()-4))</f>
        <v>76.682426992929166</v>
      </c>
      <c r="M23" s="43">
        <f t="array" aca="1" ref="M23" ca="1">INDIRECT("'"&amp;$B$3&amp;"'!"&amp;CHAR(64+COLUMN())&amp;(ROW()-4))</f>
        <v>83.669480903667306</v>
      </c>
      <c r="N23" s="43">
        <f t="array" aca="1" ref="N23" ca="1">INDIRECT("'"&amp;$B$3&amp;"'!"&amp;CHAR(64+COLUMN())&amp;(ROW()-4))</f>
        <v>83.883764485082011</v>
      </c>
      <c r="O23" s="43">
        <f t="array" aca="1" ref="O23" ca="1">INDIRECT("'"&amp;$B$3&amp;"'!"&amp;CHAR(64+COLUMN())&amp;(ROW()-4))</f>
        <v>23.860783767379729</v>
      </c>
      <c r="Q23" s="66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2170</v>
      </c>
      <c r="D24" s="43">
        <f t="array" aca="1" ref="D24" ca="1">INDIRECT("'"&amp;$B$3&amp;"'!"&amp;CHAR(64+COLUMN())&amp;(ROW()-4))</f>
        <v>2035</v>
      </c>
      <c r="E24" s="43">
        <f t="array" aca="1" ref="E24" ca="1">INDIRECT("'"&amp;$B$3&amp;"'!"&amp;CHAR(64+COLUMN())&amp;(ROW()-4))</f>
        <v>2165</v>
      </c>
      <c r="F24" s="43">
        <f t="array" aca="1" ref="F24" ca="1">INDIRECT("'"&amp;$B$3&amp;"'!"&amp;CHAR(64+COLUMN())&amp;(ROW()-4))</f>
        <v>12261</v>
      </c>
      <c r="G24" s="43">
        <f t="array" aca="1" ref="G24" ca="1">INDIRECT("'"&amp;$B$3&amp;"'!"&amp;CHAR(64+COLUMN())&amp;(ROW()-4))</f>
        <v>1.8823529411764699</v>
      </c>
      <c r="H24" s="43">
        <f t="array" aca="1" ref="H24" ca="1">INDIRECT("'"&amp;$B$3&amp;"'!"&amp;CHAR(64+COLUMN())&amp;(ROW()-4))</f>
        <v>2073</v>
      </c>
      <c r="I24" s="43">
        <f t="array" aca="1" ref="I24" ca="1">INDIRECT("'"&amp;$B$3&amp;"'!"&amp;CHAR(64+COLUMN())&amp;(ROW()-4))</f>
        <v>1998</v>
      </c>
      <c r="J24" s="43">
        <f t="array" aca="1" ref="J24" ca="1">INDIRECT("'"&amp;$B$3&amp;"'!"&amp;CHAR(64+COLUMN())&amp;(ROW()-4))</f>
        <v>1805</v>
      </c>
      <c r="K24" s="43">
        <f t="array" aca="1" ref="K24" ca="1">INDIRECT("'"&amp;$B$3&amp;"'!"&amp;CHAR(64+COLUMN())&amp;(ROW()-4))</f>
        <v>81.331092378518534</v>
      </c>
      <c r="L24" s="43">
        <f t="array" aca="1" ref="L24" ca="1">INDIRECT("'"&amp;$B$3&amp;"'!"&amp;CHAR(64+COLUMN())&amp;(ROW()-4))</f>
        <v>78.080051476180785</v>
      </c>
      <c r="M24" s="43">
        <f t="array" aca="1" ref="M24" ca="1">INDIRECT("'"&amp;$B$3&amp;"'!"&amp;CHAR(64+COLUMN())&amp;(ROW()-4))</f>
        <v>88.622791190680161</v>
      </c>
      <c r="N24" s="43">
        <f t="array" aca="1" ref="N24" ca="1">INDIRECT("'"&amp;$B$3&amp;"'!"&amp;CHAR(64+COLUMN())&amp;(ROW()-4))</f>
        <v>85.463440053614733</v>
      </c>
      <c r="O24" s="43">
        <f t="array" aca="1" ref="O24" ca="1">INDIRECT("'"&amp;$B$3&amp;"'!"&amp;CHAR(64+COLUMN())&amp;(ROW()-4))</f>
        <v>24.158809268282539</v>
      </c>
      <c r="Q24" s="84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2280</v>
      </c>
      <c r="D25" s="43">
        <f t="array" aca="1" ref="D25" ca="1">INDIRECT("'"&amp;$B$3&amp;"'!"&amp;CHAR(64+COLUMN())&amp;(ROW()-4))</f>
        <v>2150</v>
      </c>
      <c r="E25" s="43">
        <f t="array" aca="1" ref="E25" ca="1">INDIRECT("'"&amp;$B$3&amp;"'!"&amp;CHAR(64+COLUMN())&amp;(ROW()-4))</f>
        <v>2165</v>
      </c>
      <c r="F25" s="43">
        <f t="array" aca="1" ref="F25" ca="1">INDIRECT("'"&amp;$B$3&amp;"'!"&amp;CHAR(64+COLUMN())&amp;(ROW()-4))</f>
        <v>14060</v>
      </c>
      <c r="G25" s="43">
        <f t="array" aca="1" ref="G25" ca="1">INDIRECT("'"&amp;$B$3&amp;"'!"&amp;CHAR(64+COLUMN())&amp;(ROW()-4))</f>
        <v>0</v>
      </c>
      <c r="H25" s="43">
        <f t="array" aca="1" ref="H25" ca="1">INDIRECT("'"&amp;$B$3&amp;"'!"&amp;CHAR(64+COLUMN())&amp;(ROW()-4))</f>
        <v>2110</v>
      </c>
      <c r="I25" s="43">
        <f t="array" aca="1" ref="I25" ca="1">INDIRECT("'"&amp;$B$3&amp;"'!"&amp;CHAR(64+COLUMN())&amp;(ROW()-4))</f>
        <v>2030</v>
      </c>
      <c r="J25" s="43">
        <f t="array" aca="1" ref="J25" ca="1">INDIRECT("'"&amp;$B$3&amp;"'!"&amp;CHAR(64+COLUMN())&amp;(ROW()-4))</f>
        <v>1844.25</v>
      </c>
      <c r="K25" s="43">
        <f t="array" aca="1" ref="K25" ca="1">INDIRECT("'"&amp;$B$3&amp;"'!"&amp;CHAR(64+COLUMN())&amp;(ROW()-4))</f>
        <v>81.331092378518534</v>
      </c>
      <c r="L25" s="43">
        <f t="array" aca="1" ref="L25" ca="1">INDIRECT("'"&amp;$B$3&amp;"'!"&amp;CHAR(64+COLUMN())&amp;(ROW()-4))</f>
        <v>78.080051476180785</v>
      </c>
      <c r="M25" s="43">
        <f t="array" aca="1" ref="M25" ca="1">INDIRECT("'"&amp;$B$3&amp;"'!"&amp;CHAR(64+COLUMN())&amp;(ROW()-4))</f>
        <v>83.288210000135976</v>
      </c>
      <c r="N25" s="43">
        <f t="array" aca="1" ref="N25" ca="1">INDIRECT("'"&amp;$B$3&amp;"'!"&amp;CHAR(64+COLUMN())&amp;(ROW()-4))</f>
        <v>84.738363369121814</v>
      </c>
      <c r="O25" s="43">
        <f t="array" aca="1" ref="O25" ca="1">INDIRECT("'"&amp;$B$3&amp;"'!"&amp;CHAR(64+COLUMN())&amp;(ROW()-4))</f>
        <v>21.702827290115039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目前燈號為「🟡 等待」，建議等待、不推薦進出場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2089.8000000000002</v>
      </c>
      <c r="S27" s="69">
        <f ca="1">ROUND((E25*(1-N32)-E25)/E25,4)</f>
        <v>-3.4700000000000002E-2</v>
      </c>
      <c r="T27" s="70" t="str">
        <f ca="1">"再跌 "&amp;TEXT(ABS((E25*(1-N32)-E25)/E25),"0.0%")&amp;" 至 "&amp;TEXT(E25*(1-N32),"0.0")&amp;" 進入積極買進區"</f>
        <v>再跌 3.5% 至 2089.8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2280</v>
      </c>
      <c r="Q28" s="71" t="s">
        <v>129</v>
      </c>
      <c r="R28" s="72">
        <f ca="1">ROUND(MAX(H25,E25*(1+N32)),1)</f>
        <v>2240.1999999999998</v>
      </c>
      <c r="S28" s="73">
        <f ca="1">ROUND((MAX(H25,E25*(1+N32))-E25)/E25,4)</f>
        <v>3.4700000000000002E-2</v>
      </c>
      <c r="T28" s="74" t="str">
        <f ca="1">"再漲 "&amp;TEXT(ABS((MAX(H25,E25*(1+N32))-E25)/E25),"0.0%")&amp;" 至 "&amp;TEXT(MAX(H25,E25*(1+N32)),"0.0")&amp;" 進入反彈賣出區"</f>
        <v>再漲 3.5% 至 2240.2 進入反彈賣出區</v>
      </c>
    </row>
    <row r="29" spans="1:20" x14ac:dyDescent="0.2">
      <c r="A29" s="1" t="s">
        <v>130</v>
      </c>
      <c r="B29" s="117">
        <v>3.94</v>
      </c>
      <c r="C29" s="117">
        <v>5.37</v>
      </c>
      <c r="D29" s="117">
        <v>7.16</v>
      </c>
      <c r="E29" s="117">
        <v>6.67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1420</v>
      </c>
    </row>
    <row r="30" spans="1:20" ht="16" customHeight="1" x14ac:dyDescent="0.2">
      <c r="A30" s="1" t="s">
        <v>132</v>
      </c>
      <c r="B30" s="107">
        <f>SUM(B29:E29)</f>
        <v>23.14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1844.25</v>
      </c>
    </row>
    <row r="31" spans="1:20" x14ac:dyDescent="0.2">
      <c r="A31" s="9" t="s">
        <v>134</v>
      </c>
      <c r="C31" s="11">
        <f>IF(B29=0,"—",(C29-B29)/ABS(B29))</f>
        <v>0.36294416243654826</v>
      </c>
      <c r="D31" s="11">
        <f>IF(C29=0,"—",(D29-C29)/ABS(C29))</f>
        <v>0.33333333333333331</v>
      </c>
      <c r="E31" s="10">
        <f>IF(D29=0,"—",(E29-D29)/ABS(D29))</f>
        <v>-6.8435754189944159E-2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0.46779661016949153</v>
      </c>
    </row>
    <row r="32" spans="1:20" x14ac:dyDescent="0.2">
      <c r="A32" s="110" t="s">
        <v>174</v>
      </c>
      <c r="B32" s="106"/>
      <c r="C32" s="106"/>
      <c r="D32" s="106"/>
      <c r="E32" s="106"/>
      <c r="M32" s="1" t="s">
        <v>137</v>
      </c>
      <c r="N32" s="23">
        <f ca="1">STDEV(G7:G25)/100</f>
        <v>3.4742148582448708E-2</v>
      </c>
    </row>
    <row r="33" spans="1:14" ht="17" customHeight="1" x14ac:dyDescent="0.2">
      <c r="A33" s="108" t="s">
        <v>189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2165</v>
      </c>
    </row>
    <row r="34" spans="1:14" x14ac:dyDescent="0.2">
      <c r="A34" t="s">
        <v>141</v>
      </c>
      <c r="B34" s="3">
        <v>11.6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3">
        <v>254.8</v>
      </c>
      <c r="G35" t="s">
        <v>146</v>
      </c>
      <c r="H35" s="27">
        <f>B36*B30</f>
        <v>1388.4</v>
      </c>
      <c r="I35" s="27">
        <f>C36*B30</f>
        <v>1851.2</v>
      </c>
      <c r="J35" s="27">
        <f>D36*B30</f>
        <v>2314</v>
      </c>
    </row>
    <row r="36" spans="1:14" ht="17" customHeight="1" x14ac:dyDescent="0.2">
      <c r="A36" t="s">
        <v>147</v>
      </c>
      <c r="B36" s="3">
        <v>60</v>
      </c>
      <c r="C36" s="3">
        <v>80</v>
      </c>
      <c r="D36" s="3">
        <v>100</v>
      </c>
      <c r="G36" t="s">
        <v>148</v>
      </c>
      <c r="H36" s="27">
        <f>B37*B35</f>
        <v>1274</v>
      </c>
      <c r="I36" s="27">
        <f>C37*B35</f>
        <v>1783.6000000000001</v>
      </c>
      <c r="J36" s="27">
        <f>D37*B35</f>
        <v>2293.2000000000003</v>
      </c>
    </row>
    <row r="37" spans="1:14" ht="17" customHeight="1" x14ac:dyDescent="0.2">
      <c r="A37" t="s">
        <v>149</v>
      </c>
      <c r="B37" s="3">
        <v>5</v>
      </c>
      <c r="C37" s="3">
        <v>7</v>
      </c>
      <c r="D37" s="3">
        <v>9</v>
      </c>
      <c r="G37" t="s">
        <v>150</v>
      </c>
      <c r="H37" s="27">
        <f>B34/B38</f>
        <v>463.99999999999994</v>
      </c>
      <c r="I37" s="27">
        <f>B34/C38</f>
        <v>773.33333333333337</v>
      </c>
      <c r="J37" s="27">
        <f>B34/D38</f>
        <v>1450</v>
      </c>
    </row>
    <row r="38" spans="1:14" ht="17" customHeight="1" x14ac:dyDescent="0.25">
      <c r="A38" s="40" t="s">
        <v>151</v>
      </c>
      <c r="B38" s="37">
        <v>2.5000000000000001E-2</v>
      </c>
      <c r="C38" s="37">
        <v>1.4999999999999999E-2</v>
      </c>
      <c r="D38" s="37">
        <v>8.0000000000000002E-3</v>
      </c>
      <c r="G38" s="29" t="s">
        <v>152</v>
      </c>
      <c r="H38" s="38">
        <f>AVERAGE(H35,H36,H37)</f>
        <v>1042.1333333333334</v>
      </c>
      <c r="I38" s="38">
        <f>AVERAGE(I35,I36,I37)</f>
        <v>1469.3777777777777</v>
      </c>
      <c r="J38" s="39">
        <f>AVERAGE(J35,J36,J37)</f>
        <v>2019.0666666666668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3" priority="1" operator="lessThan">
      <formula>0</formula>
    </cfRule>
  </conditionalFormatting>
  <conditionalFormatting sqref="O6:O25">
    <cfRule type="cellIs" dxfId="2" priority="2" operator="lessThan">
      <formula>0</formula>
    </cfRule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T39"/>
  <sheetViews>
    <sheetView workbookViewId="0">
      <selection activeCell="S14" sqref="S14"/>
    </sheetView>
  </sheetViews>
  <sheetFormatPr baseColWidth="10" defaultRowHeight="15" x14ac:dyDescent="0.2"/>
  <cols>
    <col min="1" max="1" width="11.1640625" bestFit="1" customWidth="1"/>
    <col min="2" max="2" width="10" bestFit="1" customWidth="1"/>
    <col min="3" max="5" width="9" bestFit="1" customWidth="1"/>
    <col min="6" max="6" width="10.33203125" bestFit="1" customWidth="1"/>
    <col min="7" max="7" width="10" bestFit="1" customWidth="1"/>
    <col min="8" max="10" width="9" bestFit="1" customWidth="1"/>
    <col min="11" max="11" width="6.5" bestFit="1" customWidth="1"/>
    <col min="12" max="12" width="7.33203125" bestFit="1" customWidth="1"/>
    <col min="13" max="13" width="9.33203125" bestFit="1" customWidth="1"/>
    <col min="14" max="14" width="8.5" bestFit="1" customWidth="1"/>
    <col min="15" max="15" width="10.5" bestFit="1" customWidth="1"/>
    <col min="16" max="16" width="9.1640625" customWidth="1"/>
    <col min="17" max="17" width="14.1640625" bestFit="1" customWidth="1"/>
    <col min="18" max="18" width="40.83203125" bestFit="1" customWidth="1"/>
    <col min="19" max="19" width="15.33203125" bestFit="1" customWidth="1"/>
    <col min="20" max="20" width="55.83203125" bestFit="1" customWidth="1"/>
  </cols>
  <sheetData>
    <row r="1" spans="1:20" ht="19" customHeight="1" x14ac:dyDescent="0.25">
      <c r="A1" s="105" t="s">
        <v>190</v>
      </c>
      <c r="B1" s="106"/>
      <c r="C1" s="106"/>
      <c r="D1" s="106"/>
      <c r="E1" s="106"/>
      <c r="F1" s="106"/>
      <c r="G1" s="106"/>
    </row>
    <row r="2" spans="1:20" ht="17" customHeight="1" x14ac:dyDescent="0.25">
      <c r="A2" s="1" t="s">
        <v>69</v>
      </c>
      <c r="B2" s="103" t="s">
        <v>191</v>
      </c>
    </row>
    <row r="3" spans="1:20" x14ac:dyDescent="0.2">
      <c r="A3" s="1" t="s">
        <v>2</v>
      </c>
      <c r="B3" s="2">
        <v>2881</v>
      </c>
    </row>
    <row r="5" spans="1:20" ht="17" customHeight="1" x14ac:dyDescent="0.25">
      <c r="A5" s="14" t="s">
        <v>71</v>
      </c>
      <c r="B5" s="45" t="s">
        <v>72</v>
      </c>
      <c r="C5" s="14" t="s">
        <v>73</v>
      </c>
      <c r="D5" s="14" t="s">
        <v>74</v>
      </c>
      <c r="E5" s="14" t="s">
        <v>45</v>
      </c>
      <c r="F5" s="14" t="s">
        <v>75</v>
      </c>
      <c r="G5" s="14" t="s">
        <v>76</v>
      </c>
      <c r="H5" s="14" t="s">
        <v>77</v>
      </c>
      <c r="I5" s="14" t="s">
        <v>78</v>
      </c>
      <c r="J5" s="14" t="s">
        <v>79</v>
      </c>
      <c r="K5" s="14" t="s">
        <v>80</v>
      </c>
      <c r="L5" s="14" t="s">
        <v>81</v>
      </c>
      <c r="M5" s="14" t="s">
        <v>82</v>
      </c>
      <c r="N5" s="14" t="s">
        <v>83</v>
      </c>
      <c r="O5" s="14" t="s">
        <v>84</v>
      </c>
      <c r="Q5" s="46" t="s">
        <v>85</v>
      </c>
    </row>
    <row r="6" spans="1:20" x14ac:dyDescent="0.2">
      <c r="A6" s="44">
        <f t="array" aca="1" ref="A6" ca="1">INDIRECT("'"&amp;$B$3&amp;"'!"&amp;CHAR(64+COLUMN())&amp;(ROW()-4))</f>
        <v>46113</v>
      </c>
      <c r="B6" s="43">
        <f t="array" aca="1" ref="B6" ca="1">INDIRECT("'"&amp;$B$3&amp;"'!"&amp;CHAR(64+COLUMN())&amp;(ROW()-4))</f>
        <v>33174.82</v>
      </c>
      <c r="C6" s="43">
        <f t="array" aca="1" ref="C6" ca="1">INDIRECT("'"&amp;$B$3&amp;"'!"&amp;CHAR(64+COLUMN())&amp;(ROW()-4))</f>
        <v>88</v>
      </c>
      <c r="D6" s="43">
        <f t="array" aca="1" ref="D6" ca="1">INDIRECT("'"&amp;$B$3&amp;"'!"&amp;CHAR(64+COLUMN())&amp;(ROW()-4))</f>
        <v>87</v>
      </c>
      <c r="E6" s="43">
        <f t="array" aca="1" ref="E6" ca="1">INDIRECT("'"&amp;$B$3&amp;"'!"&amp;CHAR(64+COLUMN())&amp;(ROW()-4))</f>
        <v>87.8</v>
      </c>
      <c r="F6" s="43">
        <f t="array" aca="1" ref="F6" ca="1">INDIRECT("'"&amp;$B$3&amp;"'!"&amp;CHAR(64+COLUMN())&amp;(ROW()-4))</f>
        <v>13477</v>
      </c>
      <c r="G6" s="43">
        <f t="array" aca="1" ref="G6" ca="1">INDIRECT("'"&amp;$B$3&amp;"'!"&amp;CHAR(64+COLUMN())&amp;(ROW()-4))</f>
        <v>2.093023255813951</v>
      </c>
      <c r="H6" s="43">
        <f t="array" aca="1" ref="H6" ca="1">INDIRECT("'"&amp;$B$3&amp;"'!"&amp;CHAR(64+COLUMN())&amp;(ROW()-4))</f>
        <v>87.300000000000011</v>
      </c>
      <c r="I6" s="43">
        <f t="array" aca="1" ref="I6" ca="1">INDIRECT("'"&amp;$B$3&amp;"'!"&amp;CHAR(64+COLUMN())&amp;(ROW()-4))</f>
        <v>87.6</v>
      </c>
      <c r="J6" s="43">
        <f t="array" aca="1" ref="J6" ca="1">INDIRECT("'"&amp;$B$3&amp;"'!"&amp;CHAR(64+COLUMN())&amp;(ROW()-4))</f>
        <v>88.279999999999987</v>
      </c>
      <c r="K6" s="43">
        <f t="array" aca="1" ref="K6" ca="1">INDIRECT("'"&amp;$B$3&amp;"'!"&amp;CHAR(64+COLUMN())&amp;(ROW()-4))</f>
        <v>50.271563232052692</v>
      </c>
      <c r="L6" s="43">
        <f t="array" aca="1" ref="L6" ca="1">INDIRECT("'"&amp;$B$3&amp;"'!"&amp;CHAR(64+COLUMN())&amp;(ROW()-4))</f>
        <v>45.039112627849782</v>
      </c>
      <c r="M6" s="43">
        <f t="array" aca="1" ref="M6" ca="1">INDIRECT("'"&amp;$B$3&amp;"'!"&amp;CHAR(64+COLUMN())&amp;(ROW()-4))</f>
        <v>41.545868451575167</v>
      </c>
      <c r="N6" s="43">
        <f t="array" aca="1" ref="N6" ca="1">INDIRECT("'"&amp;$B$3&amp;"'!"&amp;CHAR(64+COLUMN())&amp;(ROW()-4))</f>
        <v>41.482429602605002</v>
      </c>
      <c r="O6" s="43">
        <f t="array" aca="1" ref="O6" ca="1">INDIRECT("'"&amp;$B$3&amp;"'!"&amp;CHAR(64+COLUMN())&amp;(ROW()-4))</f>
        <v>8.0736479511023251E-3</v>
      </c>
      <c r="Q6" s="13" t="s">
        <v>86</v>
      </c>
      <c r="R6" s="13" t="s">
        <v>87</v>
      </c>
      <c r="S6" s="13" t="s">
        <v>88</v>
      </c>
      <c r="T6" s="13" t="s">
        <v>89</v>
      </c>
    </row>
    <row r="7" spans="1:20" ht="19" customHeight="1" x14ac:dyDescent="0.25">
      <c r="A7" s="44">
        <f t="array" aca="1" ref="A7" ca="1">INDIRECT("'"&amp;$B$3&amp;"'!"&amp;CHAR(64+COLUMN())&amp;(ROW()-4))</f>
        <v>46114</v>
      </c>
      <c r="B7" s="43">
        <f t="array" aca="1" ref="B7" ca="1">INDIRECT("'"&amp;$B$3&amp;"'!"&amp;CHAR(64+COLUMN())&amp;(ROW()-4))</f>
        <v>32572.43</v>
      </c>
      <c r="C7" s="43">
        <f t="array" aca="1" ref="C7" ca="1">INDIRECT("'"&amp;$B$3&amp;"'!"&amp;CHAR(64+COLUMN())&amp;(ROW()-4))</f>
        <v>88.4</v>
      </c>
      <c r="D7" s="43">
        <f t="array" aca="1" ref="D7" ca="1">INDIRECT("'"&amp;$B$3&amp;"'!"&amp;CHAR(64+COLUMN())&amp;(ROW()-4))</f>
        <v>87.2</v>
      </c>
      <c r="E7" s="43">
        <f t="array" aca="1" ref="E7" ca="1">INDIRECT("'"&amp;$B$3&amp;"'!"&amp;CHAR(64+COLUMN())&amp;(ROW()-4))</f>
        <v>87.8</v>
      </c>
      <c r="F7" s="43">
        <f t="array" aca="1" ref="F7" ca="1">INDIRECT("'"&amp;$B$3&amp;"'!"&amp;CHAR(64+COLUMN())&amp;(ROW()-4))</f>
        <v>10713</v>
      </c>
      <c r="G7" s="43">
        <f t="array" aca="1" ref="G7" ca="1">INDIRECT("'"&amp;$B$3&amp;"'!"&amp;CHAR(64+COLUMN())&amp;(ROW()-4))</f>
        <v>0</v>
      </c>
      <c r="H7" s="43">
        <f t="array" aca="1" ref="H7" ca="1">INDIRECT("'"&amp;$B$3&amp;"'!"&amp;CHAR(64+COLUMN())&amp;(ROW()-4))</f>
        <v>87.140000000000015</v>
      </c>
      <c r="I7" s="43">
        <f t="array" aca="1" ref="I7" ca="1">INDIRECT("'"&amp;$B$3&amp;"'!"&amp;CHAR(64+COLUMN())&amp;(ROW()-4))</f>
        <v>87.559999999999988</v>
      </c>
      <c r="J7" s="43">
        <f t="array" aca="1" ref="J7" ca="1">INDIRECT("'"&amp;$B$3&amp;"'!"&amp;CHAR(64+COLUMN())&amp;(ROW()-4))</f>
        <v>88.144999999999996</v>
      </c>
      <c r="K7" s="43">
        <f t="array" aca="1" ref="K7" ca="1">INDIRECT("'"&amp;$B$3&amp;"'!"&amp;CHAR(64+COLUMN())&amp;(ROW()-4))</f>
        <v>50.271563232052692</v>
      </c>
      <c r="L7" s="43">
        <f t="array" aca="1" ref="L7" ca="1">INDIRECT("'"&amp;$B$3&amp;"'!"&amp;CHAR(64+COLUMN())&amp;(ROW()-4))</f>
        <v>45.039112627849782</v>
      </c>
      <c r="M7" s="43">
        <f t="array" aca="1" ref="M7" ca="1">INDIRECT("'"&amp;$B$3&amp;"'!"&amp;CHAR(64+COLUMN())&amp;(ROW()-4))</f>
        <v>49.064767001904777</v>
      </c>
      <c r="N7" s="43">
        <f t="array" aca="1" ref="N7" ca="1">INDIRECT("'"&amp;$B$3&amp;"'!"&amp;CHAR(64+COLUMN())&amp;(ROW()-4))</f>
        <v>44.009875402371591</v>
      </c>
      <c r="O7" s="43">
        <f t="array" aca="1" ref="O7" ca="1">INDIRECT("'"&amp;$B$3&amp;"'!"&amp;CHAR(64+COLUMN())&amp;(ROW()-4))</f>
        <v>7.8232488943565937E-2</v>
      </c>
      <c r="Q7" s="47">
        <v>1</v>
      </c>
      <c r="R7" t="s">
        <v>90</v>
      </c>
      <c r="S7" s="48" t="str">
        <f ca="1">IF(COUNT(B6:B25)&lt;5,"⚪",IF(AND(B25&gt;AVERAGE(B6:B25),B25&gt;B20),"🟢",IF(OR(B25&gt;AVERAGE(B6:B25),B25&gt;B20),"🟡","🔴")))</f>
        <v>🟢</v>
      </c>
      <c r="T7" t="str">
        <f ca="1">IF(COUNT(B6:B25)&lt;5,"大盤資料不足","大盤="&amp;TEXT(B25,"#,##0")&amp;" vs MA="&amp;TEXT(AVERAGE(B6:B25),"#,##0")&amp;"  斜率:"&amp;IF(B25&gt;B20,"↑","↓"))</f>
        <v>大盤=38,927 vs MA=36,644  斜率:↑</v>
      </c>
    </row>
    <row r="8" spans="1:20" ht="19" customHeight="1" x14ac:dyDescent="0.25">
      <c r="A8" s="44">
        <f t="array" aca="1" ref="A8" ca="1">INDIRECT("'"&amp;$B$3&amp;"'!"&amp;CHAR(64+COLUMN())&amp;(ROW()-4))</f>
        <v>46119</v>
      </c>
      <c r="B8" s="43">
        <f t="array" aca="1" ref="B8" ca="1">INDIRECT("'"&amp;$B$3&amp;"'!"&amp;CHAR(64+COLUMN())&amp;(ROW()-4))</f>
        <v>33229.82</v>
      </c>
      <c r="C8" s="43">
        <f t="array" aca="1" ref="C8" ca="1">INDIRECT("'"&amp;$B$3&amp;"'!"&amp;CHAR(64+COLUMN())&amp;(ROW()-4))</f>
        <v>88.3</v>
      </c>
      <c r="D8" s="43">
        <f t="array" aca="1" ref="D8" ca="1">INDIRECT("'"&amp;$B$3&amp;"'!"&amp;CHAR(64+COLUMN())&amp;(ROW()-4))</f>
        <v>86.5</v>
      </c>
      <c r="E8" s="43">
        <f t="array" aca="1" ref="E8" ca="1">INDIRECT("'"&amp;$B$3&amp;"'!"&amp;CHAR(64+COLUMN())&amp;(ROW()-4))</f>
        <v>87.7</v>
      </c>
      <c r="F8" s="43">
        <f t="array" aca="1" ref="F8" ca="1">INDIRECT("'"&amp;$B$3&amp;"'!"&amp;CHAR(64+COLUMN())&amp;(ROW()-4))</f>
        <v>14257</v>
      </c>
      <c r="G8" s="43">
        <f t="array" aca="1" ref="G8" ca="1">INDIRECT("'"&amp;$B$3&amp;"'!"&amp;CHAR(64+COLUMN())&amp;(ROW()-4))</f>
        <v>-0.11389521640090471</v>
      </c>
      <c r="H8" s="43">
        <f t="array" aca="1" ref="H8" ca="1">INDIRECT("'"&amp;$B$3&amp;"'!"&amp;CHAR(64+COLUMN())&amp;(ROW()-4))</f>
        <v>87.14</v>
      </c>
      <c r="I8" s="43">
        <f t="array" aca="1" ref="I8" ca="1">INDIRECT("'"&amp;$B$3&amp;"'!"&amp;CHAR(64+COLUMN())&amp;(ROW()-4))</f>
        <v>87.47</v>
      </c>
      <c r="J8" s="43">
        <f t="array" aca="1" ref="J8" ca="1">INDIRECT("'"&amp;$B$3&amp;"'!"&amp;CHAR(64+COLUMN())&amp;(ROW()-4))</f>
        <v>88.09</v>
      </c>
      <c r="K8" s="43">
        <f t="array" aca="1" ref="K8" ca="1">INDIRECT("'"&amp;$B$3&amp;"'!"&amp;CHAR(64+COLUMN())&amp;(ROW()-4))</f>
        <v>49.123469696537882</v>
      </c>
      <c r="L8" s="43">
        <f t="array" aca="1" ref="L8" ca="1">INDIRECT("'"&amp;$B$3&amp;"'!"&amp;CHAR(64+COLUMN())&amp;(ROW()-4))</f>
        <v>44.595982767590058</v>
      </c>
      <c r="M8" s="43">
        <f t="array" aca="1" ref="M8" ca="1">INDIRECT("'"&amp;$B$3&amp;"'!"&amp;CHAR(64+COLUMN())&amp;(ROW()-4))</f>
        <v>51.337295648328698</v>
      </c>
      <c r="N8" s="43">
        <f t="array" aca="1" ref="N8" ca="1">INDIRECT("'"&amp;$B$3&amp;"'!"&amp;CHAR(64+COLUMN())&amp;(ROW()-4))</f>
        <v>46.45234881769062</v>
      </c>
      <c r="O8" s="43">
        <f t="array" aca="1" ref="O8" ca="1">INDIRECT("'"&amp;$B$3&amp;"'!"&amp;CHAR(64+COLUMN())&amp;(ROW()-4))</f>
        <v>0.1232940033561674</v>
      </c>
      <c r="Q8" s="47">
        <v>2</v>
      </c>
      <c r="R8" t="s">
        <v>91</v>
      </c>
      <c r="S8" s="48" t="str">
        <f ca="1">IF(OR(I25="",J25="",J20=""),"⚪",IF(AND(I25&gt;J25,J25&gt;J20),"🟢",IF(OR(I25&gt;J25,J25&gt;J20),"🟡","🔴")))</f>
        <v>🟢</v>
      </c>
      <c r="T8" t="str">
        <f ca="1">IF(OR(I25="",J25="",J20=""),"資料不足","MA10=" &amp;TEXT(I25,"0.0")&amp; "  MA20=" &amp;TEXT(J25,"0.0")&amp; "  " &amp;IF(I25&gt;J25,"多頭","空頭")&amp; "  斜率:" &amp;IF(J25&gt;J20,"↑","↓"))</f>
        <v>MA10=88.5  MA20=88.2  多頭  斜率:↑</v>
      </c>
    </row>
    <row r="9" spans="1:20" ht="19" customHeight="1" x14ac:dyDescent="0.25">
      <c r="A9" s="44">
        <f t="array" aca="1" ref="A9" ca="1">INDIRECT("'"&amp;$B$3&amp;"'!"&amp;CHAR(64+COLUMN())&amp;(ROW()-4))</f>
        <v>46120</v>
      </c>
      <c r="B9" s="43">
        <f t="array" aca="1" ref="B9" ca="1">INDIRECT("'"&amp;$B$3&amp;"'!"&amp;CHAR(64+COLUMN())&amp;(ROW()-4))</f>
        <v>34761.379999999997</v>
      </c>
      <c r="C9" s="43">
        <f t="array" aca="1" ref="C9" ca="1">INDIRECT("'"&amp;$B$3&amp;"'!"&amp;CHAR(64+COLUMN())&amp;(ROW()-4))</f>
        <v>89.2</v>
      </c>
      <c r="D9" s="43">
        <f t="array" aca="1" ref="D9" ca="1">INDIRECT("'"&amp;$B$3&amp;"'!"&amp;CHAR(64+COLUMN())&amp;(ROW()-4))</f>
        <v>87.9</v>
      </c>
      <c r="E9" s="43">
        <f t="array" aca="1" ref="E9" ca="1">INDIRECT("'"&amp;$B$3&amp;"'!"&amp;CHAR(64+COLUMN())&amp;(ROW()-4))</f>
        <v>89.2</v>
      </c>
      <c r="F9" s="43">
        <f t="array" aca="1" ref="F9" ca="1">INDIRECT("'"&amp;$B$3&amp;"'!"&amp;CHAR(64+COLUMN())&amp;(ROW()-4))</f>
        <v>17573</v>
      </c>
      <c r="G9" s="43">
        <f t="array" aca="1" ref="G9" ca="1">INDIRECT("'"&amp;$B$3&amp;"'!"&amp;CHAR(64+COLUMN())&amp;(ROW()-4))</f>
        <v>1.710376282782212</v>
      </c>
      <c r="H9" s="43">
        <f t="array" aca="1" ref="H9" ca="1">INDIRECT("'"&amp;$B$3&amp;"'!"&amp;CHAR(64+COLUMN())&amp;(ROW()-4))</f>
        <v>87.7</v>
      </c>
      <c r="I9" s="43">
        <f t="array" aca="1" ref="I9" ca="1">INDIRECT("'"&amp;$B$3&amp;"'!"&amp;CHAR(64+COLUMN())&amp;(ROW()-4))</f>
        <v>87.710000000000008</v>
      </c>
      <c r="J9" s="43">
        <f t="array" aca="1" ref="J9" ca="1">INDIRECT("'"&amp;$B$3&amp;"'!"&amp;CHAR(64+COLUMN())&amp;(ROW()-4))</f>
        <v>88.190000000000012</v>
      </c>
      <c r="K9" s="43">
        <f t="array" aca="1" ref="K9" ca="1">INDIRECT("'"&amp;$B$3&amp;"'!"&amp;CHAR(64+COLUMN())&amp;(ROW()-4))</f>
        <v>63.944996134153847</v>
      </c>
      <c r="L9" s="43">
        <f t="array" aca="1" ref="L9" ca="1">INDIRECT("'"&amp;$B$3&amp;"'!"&amp;CHAR(64+COLUMN())&amp;(ROW()-4))</f>
        <v>52.278980785752474</v>
      </c>
      <c r="M9" s="43">
        <f t="array" aca="1" ref="M9" ca="1">INDIRECT("'"&amp;$B$3&amp;"'!"&amp;CHAR(64+COLUMN())&amp;(ROW()-4))</f>
        <v>67.558197098885785</v>
      </c>
      <c r="N9" s="43">
        <f t="array" aca="1" ref="N9" ca="1">INDIRECT("'"&amp;$B$3&amp;"'!"&amp;CHAR(64+COLUMN())&amp;(ROW()-4))</f>
        <v>53.487631578089008</v>
      </c>
      <c r="O9" s="43">
        <f t="array" aca="1" ref="O9" ca="1">INDIRECT("'"&amp;$B$3&amp;"'!"&amp;CHAR(64+COLUMN())&amp;(ROW()-4))</f>
        <v>0.25209005077320162</v>
      </c>
      <c r="Q9" s="47">
        <v>3</v>
      </c>
      <c r="R9" t="s">
        <v>92</v>
      </c>
      <c r="S9" s="48" t="str">
        <f ca="1">IF(OR(H25="",I25="",K25="",M25="",N25="",K24="",M24="",N24=""),"⚪",IF(AND(H25&gt;I25,M25&gt;N25,K25&gt;50,OR(AND(M24&lt;N24,M25&gt;N25,M24&lt;50),AND(K24&lt;50,K25&gt;=50),AND(M24&lt;50,M25&gt;=50))),"🟢",IF(AND(H25&gt;I25,M25&gt;N25,K25&gt;50),"🟡",IF(SUM(IF(H25&gt;I25,1,0),IF(M25&gt;N25,1,0),IF(K25&gt;50,1,0))&gt;=2,"🟡","🔴"))))</f>
        <v>🟡</v>
      </c>
      <c r="T9" t="str">
        <f ca="1">"MA金叉:"&amp;IF(H25&gt;I25,"✓","✗")&amp;"  KD金叉:"&amp;IF(AND(M24&lt;N24,M25&gt;N25),"✓","✗")&amp;"(K="&amp;TEXT(M25,"0")&amp;")  RSI6:"&amp;TEXT(K25,"0")&amp;IF(AND(K24&lt;50,K25&gt;=50),"(首破50)","")</f>
        <v>MA金叉:✓  KD金叉:✗(K=68)  RSI6:63</v>
      </c>
    </row>
    <row r="10" spans="1:20" ht="19" customHeight="1" x14ac:dyDescent="0.25">
      <c r="A10" s="44">
        <f t="array" aca="1" ref="A10" ca="1">INDIRECT("'"&amp;$B$3&amp;"'!"&amp;CHAR(64+COLUMN())&amp;(ROW()-4))</f>
        <v>46121</v>
      </c>
      <c r="B10" s="43">
        <f t="array" aca="1" ref="B10" ca="1">INDIRECT("'"&amp;$B$3&amp;"'!"&amp;CHAR(64+COLUMN())&amp;(ROW()-4))</f>
        <v>34861.160000000003</v>
      </c>
      <c r="C10" s="43">
        <f t="array" aca="1" ref="C10" ca="1">INDIRECT("'"&amp;$B$3&amp;"'!"&amp;CHAR(64+COLUMN())&amp;(ROW()-4))</f>
        <v>89.2</v>
      </c>
      <c r="D10" s="43">
        <f t="array" aca="1" ref="D10" ca="1">INDIRECT("'"&amp;$B$3&amp;"'!"&amp;CHAR(64+COLUMN())&amp;(ROW()-4))</f>
        <v>87.6</v>
      </c>
      <c r="E10" s="43">
        <f t="array" aca="1" ref="E10" ca="1">INDIRECT("'"&amp;$B$3&amp;"'!"&amp;CHAR(64+COLUMN())&amp;(ROW()-4))</f>
        <v>88.5</v>
      </c>
      <c r="F10" s="43">
        <f t="array" aca="1" ref="F10" ca="1">INDIRECT("'"&amp;$B$3&amp;"'!"&amp;CHAR(64+COLUMN())&amp;(ROW()-4))</f>
        <v>21410</v>
      </c>
      <c r="G10" s="43">
        <f t="array" aca="1" ref="G10" ca="1">INDIRECT("'"&amp;$B$3&amp;"'!"&amp;CHAR(64+COLUMN())&amp;(ROW()-4))</f>
        <v>-0.78475336322870271</v>
      </c>
      <c r="H10" s="43">
        <f t="array" aca="1" ref="H10" ca="1">INDIRECT("'"&amp;$B$3&amp;"'!"&amp;CHAR(64+COLUMN())&amp;(ROW()-4))</f>
        <v>88.2</v>
      </c>
      <c r="I10" s="43">
        <f t="array" aca="1" ref="I10" ca="1">INDIRECT("'"&amp;$B$3&amp;"'!"&amp;CHAR(64+COLUMN())&amp;(ROW()-4))</f>
        <v>87.85</v>
      </c>
      <c r="J10" s="43">
        <f t="array" aca="1" ref="J10" ca="1">INDIRECT("'"&amp;$B$3&amp;"'!"&amp;CHAR(64+COLUMN())&amp;(ROW()-4))</f>
        <v>88.200000000000017</v>
      </c>
      <c r="K10" s="43">
        <f t="array" aca="1" ref="K10" ca="1">INDIRECT("'"&amp;$B$3&amp;"'!"&amp;CHAR(64+COLUMN())&amp;(ROW()-4))</f>
        <v>54.97612827113371</v>
      </c>
      <c r="L10" s="43">
        <f t="array" aca="1" ref="L10" ca="1">INDIRECT("'"&amp;$B$3&amp;"'!"&amp;CHAR(64+COLUMN())&amp;(ROW()-4))</f>
        <v>48.83162591285322</v>
      </c>
      <c r="M10" s="43">
        <f t="array" aca="1" ref="M10" ca="1">INDIRECT("'"&amp;$B$3&amp;"'!"&amp;CHAR(64+COLUMN())&amp;(ROW()-4))</f>
        <v>71.509386301217958</v>
      </c>
      <c r="N10" s="43">
        <f t="array" aca="1" ref="N10" ca="1">INDIRECT("'"&amp;$B$3&amp;"'!"&amp;CHAR(64+COLUMN())&amp;(ROW()-4))</f>
        <v>59.49488315246532</v>
      </c>
      <c r="O10" s="43">
        <f t="array" aca="1" ref="O10" ca="1">INDIRECT("'"&amp;$B$3&amp;"'!"&amp;CHAR(64+COLUMN())&amp;(ROW()-4))</f>
        <v>0.28564415502177959</v>
      </c>
      <c r="Q10" s="47">
        <v>4</v>
      </c>
      <c r="R10" t="s">
        <v>93</v>
      </c>
      <c r="S10" s="48" t="str">
        <f ca="1">IF(F25="","⚪",IF(S9="🟢",IF(F25&gt;=1.5*AVERAGE(F20:F24),"🟢",IF(F25&gt;=AVERAGE(F20:F24),"🟡","🔴")),IF(S12="🟢",IF(AND(E25&gt;E24,F25&lt;F24),"🔴",IF(F25&gt;=AVERAGE(F20:F24),"🟢","🟡")),IF(F25&gt;=1.5*AVERAGE(F20:F24),"🟢",IF(F25&gt;=AVERAGE(F20:F24),"🟡","🔴")))))</f>
        <v>🟢</v>
      </c>
      <c r="T10" t="str">
        <f ca="1">"今量="&amp;TEXT(F25,"#,##0")&amp;"  5日均="&amp;TEXT(AVERAGE(F20:F24),"#,##0")&amp;"  比值="&amp;TEXT(F25/AVERAGE(F20:F24),"0.00")&amp;"x"&amp;IF(AND(E25&gt;E24,F25&lt;F24),"  ⚠價漲量縮","")</f>
        <v>今量=31,101  5日均=25,372  比值=1.23x</v>
      </c>
    </row>
    <row r="11" spans="1:20" x14ac:dyDescent="0.2">
      <c r="A11" s="44">
        <f t="array" aca="1" ref="A11" ca="1">INDIRECT("'"&amp;$B$3&amp;"'!"&amp;CHAR(64+COLUMN())&amp;(ROW()-4))</f>
        <v>46122</v>
      </c>
      <c r="B11" s="43">
        <f t="array" aca="1" ref="B11" ca="1">INDIRECT("'"&amp;$B$3&amp;"'!"&amp;CHAR(64+COLUMN())&amp;(ROW()-4))</f>
        <v>35417.83</v>
      </c>
      <c r="C11" s="43">
        <f t="array" aca="1" ref="C11" ca="1">INDIRECT("'"&amp;$B$3&amp;"'!"&amp;CHAR(64+COLUMN())&amp;(ROW()-4))</f>
        <v>88.2</v>
      </c>
      <c r="D11" s="43">
        <f t="array" aca="1" ref="D11" ca="1">INDIRECT("'"&amp;$B$3&amp;"'!"&amp;CHAR(64+COLUMN())&amp;(ROW()-4))</f>
        <v>87.3</v>
      </c>
      <c r="E11" s="43">
        <f t="array" aca="1" ref="E11" ca="1">INDIRECT("'"&amp;$B$3&amp;"'!"&amp;CHAR(64+COLUMN())&amp;(ROW()-4))</f>
        <v>87.6</v>
      </c>
      <c r="F11" s="43">
        <f t="array" aca="1" ref="F11" ca="1">INDIRECT("'"&amp;$B$3&amp;"'!"&amp;CHAR(64+COLUMN())&amp;(ROW()-4))</f>
        <v>20801</v>
      </c>
      <c r="G11" s="43">
        <f t="array" aca="1" ref="G11" ca="1">INDIRECT("'"&amp;$B$3&amp;"'!"&amp;CHAR(64+COLUMN())&amp;(ROW()-4))</f>
        <v>-1.0169491525423791</v>
      </c>
      <c r="H11" s="43">
        <f t="array" aca="1" ref="H11" ca="1">INDIRECT("'"&amp;$B$3&amp;"'!"&amp;CHAR(64+COLUMN())&amp;(ROW()-4))</f>
        <v>88.16</v>
      </c>
      <c r="I11" s="43">
        <f t="array" aca="1" ref="I11" ca="1">INDIRECT("'"&amp;$B$3&amp;"'!"&amp;CHAR(64+COLUMN())&amp;(ROW()-4))</f>
        <v>87.730000000000018</v>
      </c>
      <c r="J11" s="43">
        <f t="array" aca="1" ref="J11" ca="1">INDIRECT("'"&amp;$B$3&amp;"'!"&amp;CHAR(64+COLUMN())&amp;(ROW()-4))</f>
        <v>88.12</v>
      </c>
      <c r="K11" s="43">
        <f t="array" aca="1" ref="K11" ca="1">INDIRECT("'"&amp;$B$3&amp;"'!"&amp;CHAR(64+COLUMN())&amp;(ROW()-4))</f>
        <v>45.195773674368453</v>
      </c>
      <c r="L11" s="43">
        <f t="array" aca="1" ref="L11" ca="1">INDIRECT("'"&amp;$B$3&amp;"'!"&amp;CHAR(64+COLUMN())&amp;(ROW()-4))</f>
        <v>44.697574552580797</v>
      </c>
      <c r="M11" s="43">
        <f t="array" aca="1" ref="M11" ca="1">INDIRECT("'"&amp;$B$3&amp;"'!"&amp;CHAR(64+COLUMN())&amp;(ROW()-4))</f>
        <v>65.319983024341326</v>
      </c>
      <c r="N11" s="43">
        <f t="array" aca="1" ref="N11" ca="1">INDIRECT("'"&amp;$B$3&amp;"'!"&amp;CHAR(64+COLUMN())&amp;(ROW()-4))</f>
        <v>61.436583109757308</v>
      </c>
      <c r="O11" s="43">
        <f t="array" aca="1" ref="O11" ca="1">INDIRECT("'"&amp;$B$3&amp;"'!"&amp;CHAR(64+COLUMN())&amp;(ROW()-4))</f>
        <v>0.24432891927250019</v>
      </c>
      <c r="Q11" s="47">
        <v>5</v>
      </c>
      <c r="R11" t="s">
        <v>94</v>
      </c>
      <c r="S11" s="47" t="s">
        <v>95</v>
      </c>
      <c r="T11" t="str">
        <f ca="1">"緊 MA10=" &amp; TEXT(I25,"0.0") &amp; "  中 -" &amp; TEXT(IF(N32&lt;0.025,5,IF(N32&lt;0.04,6,8)),"0") &amp; "%=" &amp; TEXT(E25*(1-IF(N32&lt;0.025,0.05,IF(N32&lt;0.04,0.06,0.08))),"0.0") &amp; "  鬆 MA20=" &amp; TEXT(J25,"0.0") &amp; "  (σ=" &amp; TEXT(N32,"0.0%") &amp; ")"</f>
        <v>緊 MA10=88.5  中 -5%=85.5  鬆 MA20=88.2  (σ=1.1%)</v>
      </c>
    </row>
    <row r="12" spans="1:20" ht="19" customHeight="1" x14ac:dyDescent="0.25">
      <c r="A12" s="44">
        <f t="array" aca="1" ref="A12" ca="1">INDIRECT("'"&amp;$B$3&amp;"'!"&amp;CHAR(64+COLUMN())&amp;(ROW()-4))</f>
        <v>46125</v>
      </c>
      <c r="B12" s="43">
        <f t="array" aca="1" ref="B12" ca="1">INDIRECT("'"&amp;$B$3&amp;"'!"&amp;CHAR(64+COLUMN())&amp;(ROW()-4))</f>
        <v>35457.29</v>
      </c>
      <c r="C12" s="43">
        <f t="array" aca="1" ref="C12" ca="1">INDIRECT("'"&amp;$B$3&amp;"'!"&amp;CHAR(64+COLUMN())&amp;(ROW()-4))</f>
        <v>87.6</v>
      </c>
      <c r="D12" s="43">
        <f t="array" aca="1" ref="D12" ca="1">INDIRECT("'"&amp;$B$3&amp;"'!"&amp;CHAR(64+COLUMN())&amp;(ROW()-4))</f>
        <v>86.7</v>
      </c>
      <c r="E12" s="43">
        <f t="array" aca="1" ref="E12" ca="1">INDIRECT("'"&amp;$B$3&amp;"'!"&amp;CHAR(64+COLUMN())&amp;(ROW()-4))</f>
        <v>86.7</v>
      </c>
      <c r="F12" s="43">
        <f t="array" aca="1" ref="F12" ca="1">INDIRECT("'"&amp;$B$3&amp;"'!"&amp;CHAR(64+COLUMN())&amp;(ROW()-4))</f>
        <v>17475</v>
      </c>
      <c r="G12" s="43">
        <f t="array" aca="1" ref="G12" ca="1">INDIRECT("'"&amp;$B$3&amp;"'!"&amp;CHAR(64+COLUMN())&amp;(ROW()-4))</f>
        <v>-1.0273972602739629</v>
      </c>
      <c r="H12" s="43">
        <f t="array" aca="1" ref="H12" ca="1">INDIRECT("'"&amp;$B$3&amp;"'!"&amp;CHAR(64+COLUMN())&amp;(ROW()-4))</f>
        <v>87.94</v>
      </c>
      <c r="I12" s="43">
        <f t="array" aca="1" ref="I12" ca="1">INDIRECT("'"&amp;$B$3&amp;"'!"&amp;CHAR(64+COLUMN())&amp;(ROW()-4))</f>
        <v>87.54000000000002</v>
      </c>
      <c r="J12" s="43">
        <f t="array" aca="1" ref="J12" ca="1">INDIRECT("'"&amp;$B$3&amp;"'!"&amp;CHAR(64+COLUMN())&amp;(ROW()-4))</f>
        <v>87.984999999999999</v>
      </c>
      <c r="K12" s="43">
        <f t="array" aca="1" ref="K12" ca="1">INDIRECT("'"&amp;$B$3&amp;"'!"&amp;CHAR(64+COLUMN())&amp;(ROW()-4))</f>
        <v>37.244693986066657</v>
      </c>
      <c r="L12" s="43">
        <f t="array" aca="1" ref="L12" ca="1">INDIRECT("'"&amp;$B$3&amp;"'!"&amp;CHAR(64+COLUMN())&amp;(ROW()-4))</f>
        <v>40.918520002009053</v>
      </c>
      <c r="M12" s="43">
        <f t="array" aca="1" ref="M12" ca="1">INDIRECT("'"&amp;$B$3&amp;"'!"&amp;CHAR(64+COLUMN())&amp;(ROW()-4))</f>
        <v>52.370184761325618</v>
      </c>
      <c r="N12" s="43">
        <f t="array" aca="1" ref="N12" ca="1">INDIRECT("'"&amp;$B$3&amp;"'!"&amp;CHAR(64+COLUMN())&amp;(ROW()-4))</f>
        <v>58.414450326946749</v>
      </c>
      <c r="O12" s="43">
        <f t="array" aca="1" ref="O12" ca="1">INDIRECT("'"&amp;$B$3&amp;"'!"&amp;CHAR(64+COLUMN())&amp;(ROW()-4))</f>
        <v>0.15769596957123541</v>
      </c>
      <c r="Q12" s="47">
        <v>6</v>
      </c>
      <c r="R12" t="s">
        <v>96</v>
      </c>
      <c r="S12" s="48" t="str">
        <f ca="1">IF(OR(E25="",H25=""),"⚪",IF(E25&gt;H25,"🟢",IF(AND(E25&lt;H25,E24&lt;H24),"🔴","🟡")))</f>
        <v>🟢</v>
      </c>
      <c r="T12" t="str">
        <f ca="1">"收盤="&amp;TEXT(E25,"0.0")&amp;"  MA5="&amp;TEXT(H25,"0.0")&amp;IF(E25&gt;H25,"  守穩",IF(AND(E25&lt;H25,E24&lt;H24),"  連2日跌破","  單日跌破(警示)"))</f>
        <v>收盤=90.0  MA5=89.1  守穩</v>
      </c>
    </row>
    <row r="13" spans="1:20" ht="19" customHeight="1" x14ac:dyDescent="0.25">
      <c r="A13" s="44">
        <f t="array" aca="1" ref="A13" ca="1">INDIRECT("'"&amp;$B$3&amp;"'!"&amp;CHAR(64+COLUMN())&amp;(ROW()-4))</f>
        <v>46126</v>
      </c>
      <c r="B13" s="43">
        <f t="array" aca="1" ref="B13" ca="1">INDIRECT("'"&amp;$B$3&amp;"'!"&amp;CHAR(64+COLUMN())&amp;(ROW()-4))</f>
        <v>36296.120000000003</v>
      </c>
      <c r="C13" s="43">
        <f t="array" aca="1" ref="C13" ca="1">INDIRECT("'"&amp;$B$3&amp;"'!"&amp;CHAR(64+COLUMN())&amp;(ROW()-4))</f>
        <v>88.4</v>
      </c>
      <c r="D13" s="43">
        <f t="array" aca="1" ref="D13" ca="1">INDIRECT("'"&amp;$B$3&amp;"'!"&amp;CHAR(64+COLUMN())&amp;(ROW()-4))</f>
        <v>86.7</v>
      </c>
      <c r="E13" s="43">
        <f t="array" aca="1" ref="E13" ca="1">INDIRECT("'"&amp;$B$3&amp;"'!"&amp;CHAR(64+COLUMN())&amp;(ROW()-4))</f>
        <v>87.6</v>
      </c>
      <c r="F13" s="43">
        <f t="array" aca="1" ref="F13" ca="1">INDIRECT("'"&amp;$B$3&amp;"'!"&amp;CHAR(64+COLUMN())&amp;(ROW()-4))</f>
        <v>18208</v>
      </c>
      <c r="G13" s="43">
        <f t="array" aca="1" ref="G13" ca="1">INDIRECT("'"&amp;$B$3&amp;"'!"&amp;CHAR(64+COLUMN())&amp;(ROW()-4))</f>
        <v>1.0380622837370139</v>
      </c>
      <c r="H13" s="43">
        <f t="array" aca="1" ref="H13" ca="1">INDIRECT("'"&amp;$B$3&amp;"'!"&amp;CHAR(64+COLUMN())&amp;(ROW()-4))</f>
        <v>87.919999999999987</v>
      </c>
      <c r="I13" s="43">
        <f t="array" aca="1" ref="I13" ca="1">INDIRECT("'"&amp;$B$3&amp;"'!"&amp;CHAR(64+COLUMN())&amp;(ROW()-4))</f>
        <v>87.53</v>
      </c>
      <c r="J13" s="43">
        <f t="array" aca="1" ref="J13" ca="1">INDIRECT("'"&amp;$B$3&amp;"'!"&amp;CHAR(64+COLUMN())&amp;(ROW()-4))</f>
        <v>87.96</v>
      </c>
      <c r="K13" s="43">
        <f t="array" aca="1" ref="K13" ca="1">INDIRECT("'"&amp;$B$3&amp;"'!"&amp;CHAR(64+COLUMN())&amp;(ROW()-4))</f>
        <v>48.183659744195793</v>
      </c>
      <c r="L13" s="43">
        <f t="array" aca="1" ref="L13" ca="1">INDIRECT("'"&amp;$B$3&amp;"'!"&amp;CHAR(64+COLUMN())&amp;(ROW()-4))</f>
        <v>45.90763731263938</v>
      </c>
      <c r="M13" s="43">
        <f t="array" aca="1" ref="M13" ca="1">INDIRECT("'"&amp;$B$3&amp;"'!"&amp;CHAR(64+COLUMN())&amp;(ROW()-4))</f>
        <v>52.56051533107977</v>
      </c>
      <c r="N13" s="43">
        <f t="array" aca="1" ref="N13" ca="1">INDIRECT("'"&amp;$B$3&amp;"'!"&amp;CHAR(64+COLUMN())&amp;(ROW()-4))</f>
        <v>56.463138661657752</v>
      </c>
      <c r="O13" s="43">
        <f t="array" aca="1" ref="O13" ca="1">INDIRECT("'"&amp;$B$3&amp;"'!"&amp;CHAR(64+COLUMN())&amp;(ROW()-4))</f>
        <v>0.16171257095086219</v>
      </c>
      <c r="Q13" s="47">
        <v>7</v>
      </c>
      <c r="R13" t="s">
        <v>97</v>
      </c>
      <c r="S13" s="48" t="str">
        <f ca="1">IF(SUM(IF(AND(E25&gt;MAX(E15:E24),K25&lt;MAX(K15:K24)),1,0),IF(AND(E25&gt;MAX(E15:E24),F25&lt;MAX(F15:F24)),1,0),IF(AND(E25&lt;H25,H25&lt;H24),1,0),IF(AND(M24&gt;N24,M25&lt;N25,M24&gt;80),1,0),IF(AND(E25&lt;J25,E24&lt;J24),1,0))&gt;=2,"🔴",IF(SUM(IF(AND(E25&gt;MAX(E15:E24),K25&lt;MAX(K15:K24)),1,0),IF(AND(E25&gt;MAX(E15:E24),F25&lt;MAX(F15:F24)),1,0),IF(AND(E25&lt;H25,H25&lt;H24),1,0),IF(AND(M24&gt;N24,M25&lt;N25,M24&gt;80),1,0),IF(AND(E25&lt;J25,E24&lt;J24),1,0))=1,"🟡","🟢"))</f>
        <v>🟢</v>
      </c>
      <c r="T13" t="str">
        <f ca="1">"RSI背離:"&amp;IF(AND(E25&gt;MAX(E15:E24),K25&lt;MAX(K15:K24)),"✓","✗")&amp;"  量價背離:"&amp;IF(AND(E25&gt;MAX(E15:E24),F25&lt;MAX(F15:F24)),"✓","✗")&amp;"  MA5翻下:"&amp;IF(AND(E25&lt;H25,H25&lt;H24),"✓","✗")&amp;"  KD高死叉:"&amp;IF(AND(M24&gt;N24,M25&lt;N25,M24&gt;80),"✓","✗")&amp;"  破MA20:"&amp;IF(AND(E25&lt;J25,E24&lt;J24),"✓","✗")</f>
        <v>RSI背離:✗  量價背離:✗  MA5翻下:✗  KD高死叉:✗  破MA20:✗</v>
      </c>
    </row>
    <row r="14" spans="1:20" x14ac:dyDescent="0.2">
      <c r="A14" s="44">
        <f t="array" aca="1" ref="A14" ca="1">INDIRECT("'"&amp;$B$3&amp;"'!"&amp;CHAR(64+COLUMN())&amp;(ROW()-4))</f>
        <v>46127</v>
      </c>
      <c r="B14" s="43">
        <f t="array" aca="1" ref="B14" ca="1">INDIRECT("'"&amp;$B$3&amp;"'!"&amp;CHAR(64+COLUMN())&amp;(ROW()-4))</f>
        <v>36722.14</v>
      </c>
      <c r="C14" s="43">
        <f t="array" aca="1" ref="C14" ca="1">INDIRECT("'"&amp;$B$3&amp;"'!"&amp;CHAR(64+COLUMN())&amp;(ROW()-4))</f>
        <v>88.4</v>
      </c>
      <c r="D14" s="43">
        <f t="array" aca="1" ref="D14" ca="1">INDIRECT("'"&amp;$B$3&amp;"'!"&amp;CHAR(64+COLUMN())&amp;(ROW()-4))</f>
        <v>87.1</v>
      </c>
      <c r="E14" s="43">
        <f t="array" aca="1" ref="E14" ca="1">INDIRECT("'"&amp;$B$3&amp;"'!"&amp;CHAR(64+COLUMN())&amp;(ROW()-4))</f>
        <v>87.5</v>
      </c>
      <c r="F14" s="43">
        <f t="array" aca="1" ref="F14" ca="1">INDIRECT("'"&amp;$B$3&amp;"'!"&amp;CHAR(64+COLUMN())&amp;(ROW()-4))</f>
        <v>21344</v>
      </c>
      <c r="G14" s="43">
        <f t="array" aca="1" ref="G14" ca="1">INDIRECT("'"&amp;$B$3&amp;"'!"&amp;CHAR(64+COLUMN())&amp;(ROW()-4))</f>
        <v>-0.114155251141546</v>
      </c>
      <c r="H14" s="43">
        <f t="array" aca="1" ref="H14" ca="1">INDIRECT("'"&amp;$B$3&amp;"'!"&amp;CHAR(64+COLUMN())&amp;(ROW()-4))</f>
        <v>87.58</v>
      </c>
      <c r="I14" s="43">
        <f t="array" aca="1" ref="I14" ca="1">INDIRECT("'"&amp;$B$3&amp;"'!"&amp;CHAR(64+COLUMN())&amp;(ROW()-4))</f>
        <v>87.640000000000015</v>
      </c>
      <c r="J14" s="43">
        <f t="array" aca="1" ref="J14" ca="1">INDIRECT("'"&amp;$B$3&amp;"'!"&amp;CHAR(64+COLUMN())&amp;(ROW()-4))</f>
        <v>87.894999999999996</v>
      </c>
      <c r="K14" s="43">
        <f t="array" aca="1" ref="K14" ca="1">INDIRECT("'"&amp;$B$3&amp;"'!"&amp;CHAR(64+COLUMN())&amp;(ROW()-4))</f>
        <v>47.089234312178817</v>
      </c>
      <c r="L14" s="43">
        <f t="array" aca="1" ref="L14" ca="1">INDIRECT("'"&amp;$B$3&amp;"'!"&amp;CHAR(64+COLUMN())&amp;(ROW()-4))</f>
        <v>45.44250059601417</v>
      </c>
      <c r="M14" s="43">
        <f t="array" aca="1" ref="M14" ca="1">INDIRECT("'"&amp;$B$3&amp;"'!"&amp;CHAR(64+COLUMN())&amp;(ROW()-4))</f>
        <v>47.386022566398843</v>
      </c>
      <c r="N14" s="43">
        <f t="array" aca="1" ref="N14" ca="1">INDIRECT("'"&amp;$B$3&amp;"'!"&amp;CHAR(64+COLUMN())&amp;(ROW()-4))</f>
        <v>53.437433296571442</v>
      </c>
      <c r="O14" s="43">
        <f t="array" aca="1" ref="O14" ca="1">INDIRECT("'"&amp;$B$3&amp;"'!"&amp;CHAR(64+COLUMN())&amp;(ROW()-4))</f>
        <v>0.15814975841499929</v>
      </c>
    </row>
    <row r="15" spans="1:20" ht="19" customHeight="1" x14ac:dyDescent="0.25">
      <c r="A15" s="44">
        <f t="array" aca="1" ref="A15" ca="1">INDIRECT("'"&amp;$B$3&amp;"'!"&amp;CHAR(64+COLUMN())&amp;(ROW()-4))</f>
        <v>46128</v>
      </c>
      <c r="B15" s="43">
        <f t="array" aca="1" ref="B15" ca="1">INDIRECT("'"&amp;$B$3&amp;"'!"&amp;CHAR(64+COLUMN())&amp;(ROW()-4))</f>
        <v>37132.019999999997</v>
      </c>
      <c r="C15" s="43">
        <f t="array" aca="1" ref="C15" ca="1">INDIRECT("'"&amp;$B$3&amp;"'!"&amp;CHAR(64+COLUMN())&amp;(ROW()-4))</f>
        <v>88.4</v>
      </c>
      <c r="D15" s="43">
        <f t="array" aca="1" ref="D15" ca="1">INDIRECT("'"&amp;$B$3&amp;"'!"&amp;CHAR(64+COLUMN())&amp;(ROW()-4))</f>
        <v>87.2</v>
      </c>
      <c r="E15" s="43">
        <f t="array" aca="1" ref="E15" ca="1">INDIRECT("'"&amp;$B$3&amp;"'!"&amp;CHAR(64+COLUMN())&amp;(ROW()-4))</f>
        <v>87.9</v>
      </c>
      <c r="F15" s="43">
        <f t="array" aca="1" ref="F15" ca="1">INDIRECT("'"&amp;$B$3&amp;"'!"&amp;CHAR(64+COLUMN())&amp;(ROW()-4))</f>
        <v>21047</v>
      </c>
      <c r="G15" s="43">
        <f t="array" aca="1" ref="G15" ca="1">INDIRECT("'"&amp;$B$3&amp;"'!"&amp;CHAR(64+COLUMN())&amp;(ROW()-4))</f>
        <v>0.45714285714286368</v>
      </c>
      <c r="H15" s="43">
        <f t="array" aca="1" ref="H15" ca="1">INDIRECT("'"&amp;$B$3&amp;"'!"&amp;CHAR(64+COLUMN())&amp;(ROW()-4))</f>
        <v>87.46</v>
      </c>
      <c r="I15" s="43">
        <f t="array" aca="1" ref="I15" ca="1">INDIRECT("'"&amp;$B$3&amp;"'!"&amp;CHAR(64+COLUMN())&amp;(ROW()-4))</f>
        <v>87.830000000000013</v>
      </c>
      <c r="J15" s="43">
        <f t="array" aca="1" ref="J15" ca="1">INDIRECT("'"&amp;$B$3&amp;"'!"&amp;CHAR(64+COLUMN())&amp;(ROW()-4))</f>
        <v>87.8</v>
      </c>
      <c r="K15" s="43">
        <f t="array" aca="1" ref="K15" ca="1">INDIRECT("'"&amp;$B$3&amp;"'!"&amp;CHAR(64+COLUMN())&amp;(ROW()-4))</f>
        <v>52.290753318825118</v>
      </c>
      <c r="L15" s="43">
        <f t="array" aca="1" ref="L15" ca="1">INDIRECT("'"&amp;$B$3&amp;"'!"&amp;CHAR(64+COLUMN())&amp;(ROW()-4))</f>
        <v>47.7524892013422</v>
      </c>
      <c r="M15" s="43">
        <f t="array" aca="1" ref="M15" ca="1">INDIRECT("'"&amp;$B$3&amp;"'!"&amp;CHAR(64+COLUMN())&amp;(ROW()-4))</f>
        <v>48.874632328216563</v>
      </c>
      <c r="N15" s="43">
        <f t="array" aca="1" ref="N15" ca="1">INDIRECT("'"&amp;$B$3&amp;"'!"&amp;CHAR(64+COLUMN())&amp;(ROW()-4))</f>
        <v>51.916499640453146</v>
      </c>
      <c r="O15" s="43">
        <f t="array" aca="1" ref="O15" ca="1">INDIRECT("'"&amp;$B$3&amp;"'!"&amp;CHAR(64+COLUMN())&amp;(ROW()-4))</f>
        <v>0.18157146121392839</v>
      </c>
      <c r="Q15" s="49" t="s">
        <v>46</v>
      </c>
      <c r="R15" s="50" t="str">
        <f ca="1">"通過 "&amp;(COUNTIF(S7:S13,"🟢"))&amp;" / 7  警示 "&amp;COUNTIF(S7:S13,"🟡")&amp;"  危險 "&amp;COUNTIF(S7:S13,"🔴")</f>
        <v>通過 5 / 7  警示 1  危險 0</v>
      </c>
      <c r="S15" s="51" t="str">
        <f ca="1">IF(AND(S7="🟢",COUNTIF(S7:S10,"🟢")=4,S13&lt;&gt;"🔴"),"🟢 強進場",IF(AND(S7="🟢",COUNTIF(S7:S10,"🟢")&gt;=3,S13&lt;&gt;"🔴"),"🟢 次強進場",IF(S13="🔴","🔴 出場",IF(COUNTIF(S7:S13,"🔴")&gt;=2,"🔴 觀望","🟡 等待"))))</f>
        <v>🟢 次強進場</v>
      </c>
      <c r="T15" s="50" t="str">
        <f ca="1">"基於 "&amp;TEXT(A25,"yyyy/mm/dd")&amp;" 收盤資料"</f>
        <v>基於 2026/04/30 收盤資料</v>
      </c>
    </row>
    <row r="16" spans="1:20" x14ac:dyDescent="0.2">
      <c r="A16" s="44">
        <f t="array" aca="1" ref="A16" ca="1">INDIRECT("'"&amp;$B$3&amp;"'!"&amp;CHAR(64+COLUMN())&amp;(ROW()-4))</f>
        <v>46129</v>
      </c>
      <c r="B16" s="43">
        <f t="array" aca="1" ref="B16" ca="1">INDIRECT("'"&amp;$B$3&amp;"'!"&amp;CHAR(64+COLUMN())&amp;(ROW()-4))</f>
        <v>36804.339999999997</v>
      </c>
      <c r="C16" s="43">
        <f t="array" aca="1" ref="C16" ca="1">INDIRECT("'"&amp;$B$3&amp;"'!"&amp;CHAR(64+COLUMN())&amp;(ROW()-4))</f>
        <v>88</v>
      </c>
      <c r="D16" s="43">
        <f t="array" aca="1" ref="D16" ca="1">INDIRECT("'"&amp;$B$3&amp;"'!"&amp;CHAR(64+COLUMN())&amp;(ROW()-4))</f>
        <v>86.8</v>
      </c>
      <c r="E16" s="43">
        <f t="array" aca="1" ref="E16" ca="1">INDIRECT("'"&amp;$B$3&amp;"'!"&amp;CHAR(64+COLUMN())&amp;(ROW()-4))</f>
        <v>88</v>
      </c>
      <c r="F16" s="43">
        <f t="array" aca="1" ref="F16" ca="1">INDIRECT("'"&amp;$B$3&amp;"'!"&amp;CHAR(64+COLUMN())&amp;(ROW()-4))</f>
        <v>24660</v>
      </c>
      <c r="G16" s="43">
        <f t="array" aca="1" ref="G16" ca="1">INDIRECT("'"&amp;$B$3&amp;"'!"&amp;CHAR(64+COLUMN())&amp;(ROW()-4))</f>
        <v>0.1137656427758752</v>
      </c>
      <c r="H16" s="43">
        <f t="array" aca="1" ref="H16" ca="1">INDIRECT("'"&amp;$B$3&amp;"'!"&amp;CHAR(64+COLUMN())&amp;(ROW()-4))</f>
        <v>87.54</v>
      </c>
      <c r="I16" s="43">
        <f t="array" aca="1" ref="I16" ca="1">INDIRECT("'"&amp;$B$3&amp;"'!"&amp;CHAR(64+COLUMN())&amp;(ROW()-4))</f>
        <v>87.85</v>
      </c>
      <c r="J16" s="43">
        <f t="array" aca="1" ref="J16" ca="1">INDIRECT("'"&amp;$B$3&amp;"'!"&amp;CHAR(64+COLUMN())&amp;(ROW()-4))</f>
        <v>87.724999999999994</v>
      </c>
      <c r="K16" s="43">
        <f t="array" aca="1" ref="K16" ca="1">INDIRECT("'"&amp;$B$3&amp;"'!"&amp;CHAR(64+COLUMN())&amp;(ROW()-4))</f>
        <v>53.65749641952943</v>
      </c>
      <c r="L16" s="43">
        <f t="array" aca="1" ref="L16" ca="1">INDIRECT("'"&amp;$B$3&amp;"'!"&amp;CHAR(64+COLUMN())&amp;(ROW()-4))</f>
        <v>48.348924474652279</v>
      </c>
      <c r="M16" s="43">
        <f t="array" aca="1" ref="M16" ca="1">INDIRECT("'"&amp;$B$3&amp;"'!"&amp;CHAR(64+COLUMN())&amp;(ROW()-4))</f>
        <v>51.10160673732954</v>
      </c>
      <c r="N16" s="43">
        <f t="array" aca="1" ref="N16" ca="1">INDIRECT("'"&amp;$B$3&amp;"'!"&amp;CHAR(64+COLUMN())&amp;(ROW()-4))</f>
        <v>51.644868672745282</v>
      </c>
      <c r="O16" s="43">
        <f t="array" aca="1" ref="O16" ca="1">INDIRECT("'"&amp;$B$3&amp;"'!"&amp;CHAR(64+COLUMN())&amp;(ROW()-4))</f>
        <v>0.20111959385099651</v>
      </c>
    </row>
    <row r="17" spans="1:20" ht="16" customHeight="1" x14ac:dyDescent="0.2">
      <c r="A17" s="44">
        <f t="array" aca="1" ref="A17" ca="1">INDIRECT("'"&amp;$B$3&amp;"'!"&amp;CHAR(64+COLUMN())&amp;(ROW()-4))</f>
        <v>46132</v>
      </c>
      <c r="B17" s="43">
        <f t="array" aca="1" ref="B17" ca="1">INDIRECT("'"&amp;$B$3&amp;"'!"&amp;CHAR(64+COLUMN())&amp;(ROW()-4))</f>
        <v>36958.800000000003</v>
      </c>
      <c r="C17" s="43">
        <f t="array" aca="1" ref="C17" ca="1">INDIRECT("'"&amp;$B$3&amp;"'!"&amp;CHAR(64+COLUMN())&amp;(ROW()-4))</f>
        <v>88</v>
      </c>
      <c r="D17" s="43">
        <f t="array" aca="1" ref="D17" ca="1">INDIRECT("'"&amp;$B$3&amp;"'!"&amp;CHAR(64+COLUMN())&amp;(ROW()-4))</f>
        <v>87.2</v>
      </c>
      <c r="E17" s="43">
        <f t="array" aca="1" ref="E17" ca="1">INDIRECT("'"&amp;$B$3&amp;"'!"&amp;CHAR(64+COLUMN())&amp;(ROW()-4))</f>
        <v>87.2</v>
      </c>
      <c r="F17" s="43">
        <f t="array" aca="1" ref="F17" ca="1">INDIRECT("'"&amp;$B$3&amp;"'!"&amp;CHAR(64+COLUMN())&amp;(ROW()-4))</f>
        <v>22352</v>
      </c>
      <c r="G17" s="43">
        <f t="array" aca="1" ref="G17" ca="1">INDIRECT("'"&amp;$B$3&amp;"'!"&amp;CHAR(64+COLUMN())&amp;(ROW()-4))</f>
        <v>-0.90909090909090595</v>
      </c>
      <c r="H17" s="43">
        <f t="array" aca="1" ref="H17" ca="1">INDIRECT("'"&amp;$B$3&amp;"'!"&amp;CHAR(64+COLUMN())&amp;(ROW()-4))</f>
        <v>87.64</v>
      </c>
      <c r="I17" s="43">
        <f t="array" aca="1" ref="I17" ca="1">INDIRECT("'"&amp;$B$3&amp;"'!"&amp;CHAR(64+COLUMN())&amp;(ROW()-4))</f>
        <v>87.789999999999992</v>
      </c>
      <c r="J17" s="43">
        <f t="array" aca="1" ref="J17" ca="1">INDIRECT("'"&amp;$B$3&amp;"'!"&amp;CHAR(64+COLUMN())&amp;(ROW()-4))</f>
        <v>87.674999999999997</v>
      </c>
      <c r="K17" s="43">
        <f t="array" aca="1" ref="K17" ca="1">INDIRECT("'"&amp;$B$3&amp;"'!"&amp;CHAR(64+COLUMN())&amp;(ROW()-4))</f>
        <v>42.08383290809369</v>
      </c>
      <c r="L17" s="43">
        <f t="array" aca="1" ref="L17" ca="1">INDIRECT("'"&amp;$B$3&amp;"'!"&amp;CHAR(64+COLUMN())&amp;(ROW()-4))</f>
        <v>43.968484257846782</v>
      </c>
      <c r="M17" s="43">
        <f t="array" aca="1" ref="M17" ca="1">INDIRECT("'"&amp;$B$3&amp;"'!"&amp;CHAR(64+COLUMN())&amp;(ROW()-4))</f>
        <v>40.734404491553022</v>
      </c>
      <c r="N17" s="43">
        <f t="array" aca="1" ref="N17" ca="1">INDIRECT("'"&amp;$B$3&amp;"'!"&amp;CHAR(64+COLUMN())&amp;(ROW()-4))</f>
        <v>48.008047279014519</v>
      </c>
      <c r="O17" s="43">
        <f t="array" aca="1" ref="O17" ca="1">INDIRECT("'"&amp;$B$3&amp;"'!"&amp;CHAR(64+COLUMN())&amp;(ROW()-4))</f>
        <v>0.15932081266693629</v>
      </c>
      <c r="Q17" s="46" t="s">
        <v>98</v>
      </c>
      <c r="R17" s="52"/>
      <c r="S17" s="52"/>
      <c r="T17" s="52"/>
    </row>
    <row r="18" spans="1:20" x14ac:dyDescent="0.2">
      <c r="A18" s="44">
        <f t="array" aca="1" ref="A18" ca="1">INDIRECT("'"&amp;$B$3&amp;"'!"&amp;CHAR(64+COLUMN())&amp;(ROW()-4))</f>
        <v>46133</v>
      </c>
      <c r="B18" s="43">
        <f t="array" aca="1" ref="B18" ca="1">INDIRECT("'"&amp;$B$3&amp;"'!"&amp;CHAR(64+COLUMN())&amp;(ROW()-4))</f>
        <v>37605.11</v>
      </c>
      <c r="C18" s="43">
        <f t="array" aca="1" ref="C18" ca="1">INDIRECT("'"&amp;$B$3&amp;"'!"&amp;CHAR(64+COLUMN())&amp;(ROW()-4))</f>
        <v>88.1</v>
      </c>
      <c r="D18" s="43">
        <f t="array" aca="1" ref="D18" ca="1">INDIRECT("'"&amp;$B$3&amp;"'!"&amp;CHAR(64+COLUMN())&amp;(ROW()-4))</f>
        <v>87.2</v>
      </c>
      <c r="E18" s="43">
        <f t="array" aca="1" ref="E18" ca="1">INDIRECT("'"&amp;$B$3&amp;"'!"&amp;CHAR(64+COLUMN())&amp;(ROW()-4))</f>
        <v>87.7</v>
      </c>
      <c r="F18" s="43">
        <f t="array" aca="1" ref="F18" ca="1">INDIRECT("'"&amp;$B$3&amp;"'!"&amp;CHAR(64+COLUMN())&amp;(ROW()-4))</f>
        <v>18530</v>
      </c>
      <c r="G18" s="43">
        <f t="array" aca="1" ref="G18" ca="1">INDIRECT("'"&amp;$B$3&amp;"'!"&amp;CHAR(64+COLUMN())&amp;(ROW()-4))</f>
        <v>0.57339449541284393</v>
      </c>
      <c r="H18" s="43">
        <f t="array" aca="1" ref="H18" ca="1">INDIRECT("'"&amp;$B$3&amp;"'!"&amp;CHAR(64+COLUMN())&amp;(ROW()-4))</f>
        <v>87.66</v>
      </c>
      <c r="I18" s="43">
        <f t="array" aca="1" ref="I18" ca="1">INDIRECT("'"&amp;$B$3&amp;"'!"&amp;CHAR(64+COLUMN())&amp;(ROW()-4))</f>
        <v>87.789999999999992</v>
      </c>
      <c r="J18" s="43">
        <f t="array" aca="1" ref="J18" ca="1">INDIRECT("'"&amp;$B$3&amp;"'!"&amp;CHAR(64+COLUMN())&amp;(ROW()-4))</f>
        <v>87.63000000000001</v>
      </c>
      <c r="K18" s="43">
        <f t="array" aca="1" ref="K18" ca="1">INDIRECT("'"&amp;$B$3&amp;"'!"&amp;CHAR(64+COLUMN())&amp;(ROW()-4))</f>
        <v>50.148396038852503</v>
      </c>
      <c r="L18" s="43">
        <f t="array" aca="1" ref="L18" ca="1">INDIRECT("'"&amp;$B$3&amp;"'!"&amp;CHAR(64+COLUMN())&amp;(ROW()-4))</f>
        <v>47.228353376251263</v>
      </c>
      <c r="M18" s="43">
        <f t="array" aca="1" ref="M18" ca="1">INDIRECT("'"&amp;$B$3&amp;"'!"&amp;CHAR(64+COLUMN())&amp;(ROW()-4))</f>
        <v>40.489602994368681</v>
      </c>
      <c r="N18" s="43">
        <f t="array" aca="1" ref="N18" ca="1">INDIRECT("'"&amp;$B$3&amp;"'!"&amp;CHAR(64+COLUMN())&amp;(ROW()-4))</f>
        <v>45.501899184132569</v>
      </c>
      <c r="O18" s="43">
        <f t="array" aca="1" ref="O18" ca="1">INDIRECT("'"&amp;$B$3&amp;"'!"&amp;CHAR(64+COLUMN())&amp;(ROW()-4))</f>
        <v>0.1638619741695059</v>
      </c>
      <c r="Q18" s="13" t="s">
        <v>99</v>
      </c>
      <c r="R18" s="13" t="s">
        <v>100</v>
      </c>
      <c r="S18" s="13" t="s">
        <v>101</v>
      </c>
      <c r="T18" s="13" t="s">
        <v>102</v>
      </c>
    </row>
    <row r="19" spans="1:20" x14ac:dyDescent="0.2">
      <c r="A19" s="44">
        <f t="array" aca="1" ref="A19" ca="1">INDIRECT("'"&amp;$B$3&amp;"'!"&amp;CHAR(64+COLUMN())&amp;(ROW()-4))</f>
        <v>46134</v>
      </c>
      <c r="B19" s="43">
        <f t="array" aca="1" ref="B19" ca="1">INDIRECT("'"&amp;$B$3&amp;"'!"&amp;CHAR(64+COLUMN())&amp;(ROW()-4))</f>
        <v>37878.47</v>
      </c>
      <c r="C19" s="43">
        <f t="array" aca="1" ref="C19" ca="1">INDIRECT("'"&amp;$B$3&amp;"'!"&amp;CHAR(64+COLUMN())&amp;(ROW()-4))</f>
        <v>88.8</v>
      </c>
      <c r="D19" s="43">
        <f t="array" aca="1" ref="D19" ca="1">INDIRECT("'"&amp;$B$3&amp;"'!"&amp;CHAR(64+COLUMN())&amp;(ROW()-4))</f>
        <v>87.7</v>
      </c>
      <c r="E19" s="43">
        <f t="array" aca="1" ref="E19" ca="1">INDIRECT("'"&amp;$B$3&amp;"'!"&amp;CHAR(64+COLUMN())&amp;(ROW()-4))</f>
        <v>88.3</v>
      </c>
      <c r="F19" s="43">
        <f t="array" aca="1" ref="F19" ca="1">INDIRECT("'"&amp;$B$3&amp;"'!"&amp;CHAR(64+COLUMN())&amp;(ROW()-4))</f>
        <v>23952</v>
      </c>
      <c r="G19" s="43">
        <f t="array" aca="1" ref="G19" ca="1">INDIRECT("'"&amp;$B$3&amp;"'!"&amp;CHAR(64+COLUMN())&amp;(ROW()-4))</f>
        <v>0.68415051311287833</v>
      </c>
      <c r="H19" s="43">
        <f t="array" aca="1" ref="H19" ca="1">INDIRECT("'"&amp;$B$3&amp;"'!"&amp;CHAR(64+COLUMN())&amp;(ROW()-4))</f>
        <v>87.820000000000007</v>
      </c>
      <c r="I19" s="43">
        <f t="array" aca="1" ref="I19" ca="1">INDIRECT("'"&amp;$B$3&amp;"'!"&amp;CHAR(64+COLUMN())&amp;(ROW()-4))</f>
        <v>87.7</v>
      </c>
      <c r="J19" s="43">
        <f t="array" aca="1" ref="J19" ca="1">INDIRECT("'"&amp;$B$3&amp;"'!"&amp;CHAR(64+COLUMN())&amp;(ROW()-4))</f>
        <v>87.705000000000013</v>
      </c>
      <c r="K19" s="43">
        <f t="array" aca="1" ref="K19" ca="1">INDIRECT("'"&amp;$B$3&amp;"'!"&amp;CHAR(64+COLUMN())&amp;(ROW()-4))</f>
        <v>58.474764568415942</v>
      </c>
      <c r="L19" s="43">
        <f t="array" aca="1" ref="L19" ca="1">INDIRECT("'"&amp;$B$3&amp;"'!"&amp;CHAR(64+COLUMN())&amp;(ROW()-4))</f>
        <v>50.963095714301303</v>
      </c>
      <c r="M19" s="43">
        <f t="array" aca="1" ref="M19" ca="1">INDIRECT("'"&amp;$B$3&amp;"'!"&amp;CHAR(64+COLUMN())&amp;(ROW()-4))</f>
        <v>52.389894059737827</v>
      </c>
      <c r="N19" s="43">
        <f t="array" aca="1" ref="N19" ca="1">INDIRECT("'"&amp;$B$3&amp;"'!"&amp;CHAR(64+COLUMN())&amp;(ROW()-4))</f>
        <v>47.797897476000983</v>
      </c>
      <c r="O19" s="43">
        <f t="array" aca="1" ref="O19" ca="1">INDIRECT("'"&amp;$B$3&amp;"'!"&amp;CHAR(64+COLUMN())&amp;(ROW()-4))</f>
        <v>0.20321835060107041</v>
      </c>
      <c r="Q19" s="65" t="s">
        <v>103</v>
      </c>
      <c r="R19" s="53" t="s">
        <v>104</v>
      </c>
      <c r="S19" s="38">
        <f ca="1">IF(LEFT($S$15,1)="🟢",ROUND(E25*(1-N32*1.2),1),"—")</f>
        <v>88.8</v>
      </c>
      <c r="T19" s="38">
        <f ca="1">IF(LEFT($S$15,1)="🟢",ROUND(E25*(1-N32*0.8),1),"—")</f>
        <v>89.2</v>
      </c>
    </row>
    <row r="20" spans="1:20" x14ac:dyDescent="0.2">
      <c r="A20" s="44">
        <f t="array" aca="1" ref="A20" ca="1">INDIRECT("'"&amp;$B$3&amp;"'!"&amp;CHAR(64+COLUMN())&amp;(ROW()-4))</f>
        <v>46135</v>
      </c>
      <c r="B20" s="43">
        <f t="array" aca="1" ref="B20" ca="1">INDIRECT("'"&amp;$B$3&amp;"'!"&amp;CHAR(64+COLUMN())&amp;(ROW()-4))</f>
        <v>37714.15</v>
      </c>
      <c r="C20" s="43">
        <f t="array" aca="1" ref="C20" ca="1">INDIRECT("'"&amp;$B$3&amp;"'!"&amp;CHAR(64+COLUMN())&amp;(ROW()-4))</f>
        <v>89.2</v>
      </c>
      <c r="D20" s="43">
        <f t="array" aca="1" ref="D20" ca="1">INDIRECT("'"&amp;$B$3&amp;"'!"&amp;CHAR(64+COLUMN())&amp;(ROW()-4))</f>
        <v>88.1</v>
      </c>
      <c r="E20" s="43">
        <f t="array" aca="1" ref="E20" ca="1">INDIRECT("'"&amp;$B$3&amp;"'!"&amp;CHAR(64+COLUMN())&amp;(ROW()-4))</f>
        <v>88.3</v>
      </c>
      <c r="F20" s="43">
        <f t="array" aca="1" ref="F20" ca="1">INDIRECT("'"&amp;$B$3&amp;"'!"&amp;CHAR(64+COLUMN())&amp;(ROW()-4))</f>
        <v>26420</v>
      </c>
      <c r="G20" s="43">
        <f t="array" aca="1" ref="G20" ca="1">INDIRECT("'"&amp;$B$3&amp;"'!"&amp;CHAR(64+COLUMN())&amp;(ROW()-4))</f>
        <v>0</v>
      </c>
      <c r="H20" s="43">
        <f t="array" aca="1" ref="H20" ca="1">INDIRECT("'"&amp;$B$3&amp;"'!"&amp;CHAR(64+COLUMN())&amp;(ROW()-4))</f>
        <v>87.9</v>
      </c>
      <c r="I20" s="43">
        <f t="array" aca="1" ref="I20" ca="1">INDIRECT("'"&amp;$B$3&amp;"'!"&amp;CHAR(64+COLUMN())&amp;(ROW()-4))</f>
        <v>87.679999999999993</v>
      </c>
      <c r="J20" s="43">
        <f t="array" aca="1" ref="J20" ca="1">INDIRECT("'"&amp;$B$3&amp;"'!"&amp;CHAR(64+COLUMN())&amp;(ROW()-4))</f>
        <v>87.765000000000001</v>
      </c>
      <c r="K20" s="43">
        <f t="array" aca="1" ref="K20" ca="1">INDIRECT("'"&amp;$B$3&amp;"'!"&amp;CHAR(64+COLUMN())&amp;(ROW()-4))</f>
        <v>58.474764568415942</v>
      </c>
      <c r="L20" s="43">
        <f t="array" aca="1" ref="L20" ca="1">INDIRECT("'"&amp;$B$3&amp;"'!"&amp;CHAR(64+COLUMN())&amp;(ROW()-4))</f>
        <v>50.963095714301303</v>
      </c>
      <c r="M20" s="43">
        <f t="array" aca="1" ref="M20" ca="1">INDIRECT("'"&amp;$B$3&amp;"'!"&amp;CHAR(64+COLUMN())&amp;(ROW()-4))</f>
        <v>56.259929373158471</v>
      </c>
      <c r="N20" s="43">
        <f t="array" aca="1" ref="N20" ca="1">INDIRECT("'"&amp;$B$3&amp;"'!"&amp;CHAR(64+COLUMN())&amp;(ROW()-4))</f>
        <v>50.618574775053467</v>
      </c>
      <c r="O20" s="43">
        <f t="array" aca="1" ref="O20" ca="1">INDIRECT("'"&amp;$B$3&amp;"'!"&amp;CHAR(64+COLUMN())&amp;(ROW()-4))</f>
        <v>0.2235793289629959</v>
      </c>
      <c r="Q20" s="82" t="s">
        <v>105</v>
      </c>
      <c r="R20" s="54" t="s">
        <v>106</v>
      </c>
      <c r="S20" s="55">
        <f ca="1">IF(LEFT($S$15,1)="🟢",ROUND(E25*(1-N32*1.8),1),"—")</f>
        <v>88.3</v>
      </c>
      <c r="T20" s="55">
        <f ca="1">IF(LEFT($S$15,1)="🟢",ROUND(E25*(1-N32*1.4),1),"—")</f>
        <v>88.7</v>
      </c>
    </row>
    <row r="21" spans="1:20" x14ac:dyDescent="0.2">
      <c r="A21" s="44">
        <f t="array" aca="1" ref="A21" ca="1">INDIRECT("'"&amp;$B$3&amp;"'!"&amp;CHAR(64+COLUMN())&amp;(ROW()-4))</f>
        <v>46136</v>
      </c>
      <c r="B21" s="43">
        <f t="array" aca="1" ref="B21" ca="1">INDIRECT("'"&amp;$B$3&amp;"'!"&amp;CHAR(64+COLUMN())&amp;(ROW()-4))</f>
        <v>38932.400000000001</v>
      </c>
      <c r="C21" s="43">
        <f t="array" aca="1" ref="C21" ca="1">INDIRECT("'"&amp;$B$3&amp;"'!"&amp;CHAR(64+COLUMN())&amp;(ROW()-4))</f>
        <v>88.7</v>
      </c>
      <c r="D21" s="43">
        <f t="array" aca="1" ref="D21" ca="1">INDIRECT("'"&amp;$B$3&amp;"'!"&amp;CHAR(64+COLUMN())&amp;(ROW()-4))</f>
        <v>87.8</v>
      </c>
      <c r="E21" s="43">
        <f t="array" aca="1" ref="E21" ca="1">INDIRECT("'"&amp;$B$3&amp;"'!"&amp;CHAR(64+COLUMN())&amp;(ROW()-4))</f>
        <v>87.8</v>
      </c>
      <c r="F21" s="43">
        <f t="array" aca="1" ref="F21" ca="1">INDIRECT("'"&amp;$B$3&amp;"'!"&amp;CHAR(64+COLUMN())&amp;(ROW()-4))</f>
        <v>16799</v>
      </c>
      <c r="G21" s="43">
        <f t="array" aca="1" ref="G21" ca="1">INDIRECT("'"&amp;$B$3&amp;"'!"&amp;CHAR(64+COLUMN())&amp;(ROW()-4))</f>
        <v>-0.56625141562853909</v>
      </c>
      <c r="H21" s="43">
        <f t="array" aca="1" ref="H21" ca="1">INDIRECT("'"&amp;$B$3&amp;"'!"&amp;CHAR(64+COLUMN())&amp;(ROW()-4))</f>
        <v>87.86</v>
      </c>
      <c r="I21" s="43">
        <f t="array" aca="1" ref="I21" ca="1">INDIRECT("'"&amp;$B$3&amp;"'!"&amp;CHAR(64+COLUMN())&amp;(ROW()-4))</f>
        <v>87.7</v>
      </c>
      <c r="J21" s="43">
        <f t="array" aca="1" ref="J21" ca="1">INDIRECT("'"&amp;$B$3&amp;"'!"&amp;CHAR(64+COLUMN())&amp;(ROW()-4))</f>
        <v>87.715000000000003</v>
      </c>
      <c r="K21" s="43">
        <f t="array" aca="1" ref="K21" ca="1">INDIRECT("'"&amp;$B$3&amp;"'!"&amp;CHAR(64+COLUMN())&amp;(ROW()-4))</f>
        <v>48.711608915869199</v>
      </c>
      <c r="L21" s="43">
        <f t="array" aca="1" ref="L21" ca="1">INDIRECT("'"&amp;$B$3&amp;"'!"&amp;CHAR(64+COLUMN())&amp;(ROW()-4))</f>
        <v>47.62074469895515</v>
      </c>
      <c r="M21" s="43">
        <f t="array" aca="1" ref="M21" ca="1">INDIRECT("'"&amp;$B$3&amp;"'!"&amp;CHAR(64+COLUMN())&amp;(ROW()-4))</f>
        <v>52.173286248772229</v>
      </c>
      <c r="N21" s="43">
        <f t="array" aca="1" ref="N21" ca="1">INDIRECT("'"&amp;$B$3&amp;"'!"&amp;CHAR(64+COLUMN())&amp;(ROW()-4))</f>
        <v>51.136811932959723</v>
      </c>
      <c r="O21" s="43">
        <f t="array" aca="1" ref="O21" ca="1">INDIRECT("'"&amp;$B$3&amp;"'!"&amp;CHAR(64+COLUMN())&amp;(ROW()-4))</f>
        <v>0.19854858926123431</v>
      </c>
      <c r="Q21" s="83" t="s">
        <v>107</v>
      </c>
      <c r="R21" s="56" t="s">
        <v>108</v>
      </c>
      <c r="S21" s="57">
        <f ca="1">IF(LEFT($S$15,1)="🟢",ROUND(E25*(1-N32*2.4),1),"—")</f>
        <v>87.7</v>
      </c>
      <c r="T21" s="57">
        <f ca="1">IF(LEFT($S$15,1)="🟢",ROUND(E25*(1-N32*2),1),"—")</f>
        <v>88.1</v>
      </c>
    </row>
    <row r="22" spans="1:20" x14ac:dyDescent="0.2">
      <c r="A22" s="44">
        <f t="array" aca="1" ref="A22" ca="1">INDIRECT("'"&amp;$B$3&amp;"'!"&amp;CHAR(64+COLUMN())&amp;(ROW()-4))</f>
        <v>46139</v>
      </c>
      <c r="B22" s="43">
        <f t="array" aca="1" ref="B22" ca="1">INDIRECT("'"&amp;$B$3&amp;"'!"&amp;CHAR(64+COLUMN())&amp;(ROW()-4))</f>
        <v>39616.629999999997</v>
      </c>
      <c r="C22" s="43">
        <f t="array" aca="1" ref="C22" ca="1">INDIRECT("'"&amp;$B$3&amp;"'!"&amp;CHAR(64+COLUMN())&amp;(ROW()-4))</f>
        <v>88.5</v>
      </c>
      <c r="D22" s="43">
        <f t="array" aca="1" ref="D22" ca="1">INDIRECT("'"&amp;$B$3&amp;"'!"&amp;CHAR(64+COLUMN())&amp;(ROW()-4))</f>
        <v>87.2</v>
      </c>
      <c r="E22" s="43">
        <f t="array" aca="1" ref="E22" ca="1">INDIRECT("'"&amp;$B$3&amp;"'!"&amp;CHAR(64+COLUMN())&amp;(ROW()-4))</f>
        <v>87.9</v>
      </c>
      <c r="F22" s="43">
        <f t="array" aca="1" ref="F22" ca="1">INDIRECT("'"&amp;$B$3&amp;"'!"&amp;CHAR(64+COLUMN())&amp;(ROW()-4))</f>
        <v>24301</v>
      </c>
      <c r="G22" s="43">
        <f t="array" aca="1" ref="G22" ca="1">INDIRECT("'"&amp;$B$3&amp;"'!"&amp;CHAR(64+COLUMN())&amp;(ROW()-4))</f>
        <v>0.1138952164009209</v>
      </c>
      <c r="H22" s="43">
        <f t="array" aca="1" ref="H22" ca="1">INDIRECT("'"&amp;$B$3&amp;"'!"&amp;CHAR(64+COLUMN())&amp;(ROW()-4))</f>
        <v>88</v>
      </c>
      <c r="I22" s="43">
        <f t="array" aca="1" ref="I22" ca="1">INDIRECT("'"&amp;$B$3&amp;"'!"&amp;CHAR(64+COLUMN())&amp;(ROW()-4))</f>
        <v>87.819999999999979</v>
      </c>
      <c r="J22" s="43">
        <f t="array" aca="1" ref="J22" ca="1">INDIRECT("'"&amp;$B$3&amp;"'!"&amp;CHAR(64+COLUMN())&amp;(ROW()-4))</f>
        <v>87.680000000000021</v>
      </c>
      <c r="K22" s="43">
        <f t="array" aca="1" ref="K22" ca="1">INDIRECT("'"&amp;$B$3&amp;"'!"&amp;CHAR(64+COLUMN())&amp;(ROW()-4))</f>
        <v>50.687618076880831</v>
      </c>
      <c r="L22" s="43">
        <f t="array" aca="1" ref="L22" ca="1">INDIRECT("'"&amp;$B$3&amp;"'!"&amp;CHAR(64+COLUMN())&amp;(ROW()-4))</f>
        <v>48.359675510414966</v>
      </c>
      <c r="M22" s="43">
        <f t="array" aca="1" ref="M22" ca="1">INDIRECT("'"&amp;$B$3&amp;"'!"&amp;CHAR(64+COLUMN())&amp;(ROW()-4))</f>
        <v>50.059968610292671</v>
      </c>
      <c r="N22" s="43">
        <f t="array" aca="1" ref="N22" ca="1">INDIRECT("'"&amp;$B$3&amp;"'!"&amp;CHAR(64+COLUMN())&amp;(ROW()-4))</f>
        <v>50.777864158737373</v>
      </c>
      <c r="O22" s="43">
        <f t="array" aca="1" ref="O22" ca="1">INDIRECT("'"&amp;$B$3&amp;"'!"&amp;CHAR(64+COLUMN())&amp;(ROW()-4))</f>
        <v>0.18421741869080829</v>
      </c>
      <c r="Q22" s="82" t="s">
        <v>109</v>
      </c>
      <c r="R22" s="54" t="s">
        <v>110</v>
      </c>
      <c r="S22" s="55" t="str">
        <f ca="1">IF(OR(AND(LEFT($S$15,1)="🔴",RIGHT($S$15,2)="出場"),AND($S$15="🔴 觀望",$S$12="🔴")),ROUND(MIN(H25,E25*(1+N32*0.8)),1),"—")</f>
        <v>—</v>
      </c>
      <c r="T22" s="55" t="str">
        <f ca="1">IF(OR(AND(LEFT($S$15,1)="🔴",RIGHT($S$15,2)="出場"),AND($S$15="🔴 觀望",$S$12="🔴")),ROUND(MAX(H25,E25*(1+N32*1.2)),1),"—")</f>
        <v>—</v>
      </c>
    </row>
    <row r="23" spans="1:20" x14ac:dyDescent="0.2">
      <c r="A23" s="44">
        <f t="array" aca="1" ref="A23" ca="1">INDIRECT("'"&amp;$B$3&amp;"'!"&amp;CHAR(64+COLUMN())&amp;(ROW()-4))</f>
        <v>46140</v>
      </c>
      <c r="B23" s="43">
        <f t="array" aca="1" ref="B23" ca="1">INDIRECT("'"&amp;$B$3&amp;"'!"&amp;CHAR(64+COLUMN())&amp;(ROW()-4))</f>
        <v>39521.730000000003</v>
      </c>
      <c r="C23" s="43">
        <f t="array" aca="1" ref="C23" ca="1">INDIRECT("'"&amp;$B$3&amp;"'!"&amp;CHAR(64+COLUMN())&amp;(ROW()-4))</f>
        <v>89.2</v>
      </c>
      <c r="D23" s="43">
        <f t="array" aca="1" ref="D23" ca="1">INDIRECT("'"&amp;$B$3&amp;"'!"&amp;CHAR(64+COLUMN())&amp;(ROW()-4))</f>
        <v>88.1</v>
      </c>
      <c r="E23" s="43">
        <f t="array" aca="1" ref="E23" ca="1">INDIRECT("'"&amp;$B$3&amp;"'!"&amp;CHAR(64+COLUMN())&amp;(ROW()-4))</f>
        <v>88.6</v>
      </c>
      <c r="F23" s="43">
        <f t="array" aca="1" ref="F23" ca="1">INDIRECT("'"&amp;$B$3&amp;"'!"&amp;CHAR(64+COLUMN())&amp;(ROW()-4))</f>
        <v>21109</v>
      </c>
      <c r="G23" s="43">
        <f t="array" aca="1" ref="G23" ca="1">INDIRECT("'"&amp;$B$3&amp;"'!"&amp;CHAR(64+COLUMN())&amp;(ROW()-4))</f>
        <v>0.79635949943115891</v>
      </c>
      <c r="H23" s="43">
        <f t="array" aca="1" ref="H23" ca="1">INDIRECT("'"&amp;$B$3&amp;"'!"&amp;CHAR(64+COLUMN())&amp;(ROW()-4))</f>
        <v>88.179999999999993</v>
      </c>
      <c r="I23" s="43">
        <f t="array" aca="1" ref="I23" ca="1">INDIRECT("'"&amp;$B$3&amp;"'!"&amp;CHAR(64+COLUMN())&amp;(ROW()-4))</f>
        <v>87.919999999999987</v>
      </c>
      <c r="J23" s="43">
        <f t="array" aca="1" ref="J23" ca="1">INDIRECT("'"&amp;$B$3&amp;"'!"&amp;CHAR(64+COLUMN())&amp;(ROW()-4))</f>
        <v>87.724999999999994</v>
      </c>
      <c r="K23" s="43">
        <f t="array" aca="1" ref="K23" ca="1">INDIRECT("'"&amp;$B$3&amp;"'!"&amp;CHAR(64+COLUMN())&amp;(ROW()-4))</f>
        <v>62.744595493808767</v>
      </c>
      <c r="L23" s="43">
        <f t="array" aca="1" ref="L23" ca="1">INDIRECT("'"&amp;$B$3&amp;"'!"&amp;CHAR(64+COLUMN())&amp;(ROW()-4))</f>
        <v>53.38179043791051</v>
      </c>
      <c r="M23" s="43">
        <f t="array" aca="1" ref="M23" ca="1">INDIRECT("'"&amp;$B$3&amp;"'!"&amp;CHAR(64+COLUMN())&amp;(ROW()-4))</f>
        <v>58.373312406861679</v>
      </c>
      <c r="N23" s="43">
        <f t="array" aca="1" ref="N23" ca="1">INDIRECT("'"&amp;$B$3&amp;"'!"&amp;CHAR(64+COLUMN())&amp;(ROW()-4))</f>
        <v>53.309680241445477</v>
      </c>
      <c r="O23" s="43">
        <f t="array" aca="1" ref="O23" ca="1">INDIRECT("'"&amp;$B$3&amp;"'!"&amp;CHAR(64+COLUMN())&amp;(ROW()-4))</f>
        <v>0.21521452393927931</v>
      </c>
      <c r="Q23" s="66" t="s">
        <v>111</v>
      </c>
      <c r="R23" s="58" t="s">
        <v>112</v>
      </c>
      <c r="S23" s="59" t="str">
        <f ca="1">IF(OR(AND(LEFT($S$15,1)="🔴",RIGHT($S$15,2)="出場"),AND($S$15="🔴 觀望",$S$12="🔴")),ROUND(MIN(I25,E25*(1+N32*1.4)),1),"—")</f>
        <v>—</v>
      </c>
      <c r="T23" s="59" t="str">
        <f ca="1">IF(OR(AND(LEFT($S$15,1)="🔴",RIGHT($S$15,2)="出場"),AND($S$15="🔴 觀望",$S$12="🔴")),ROUND(MAX(I25,E25*(1+N32*1.8)),1),"—")</f>
        <v>—</v>
      </c>
    </row>
    <row r="24" spans="1:20" x14ac:dyDescent="0.2">
      <c r="A24" s="44">
        <f t="array" aca="1" ref="A24" ca="1">INDIRECT("'"&amp;$B$3&amp;"'!"&amp;CHAR(64+COLUMN())&amp;(ROW()-4))</f>
        <v>46141</v>
      </c>
      <c r="B24" s="43">
        <f t="array" aca="1" ref="B24" ca="1">INDIRECT("'"&amp;$B$3&amp;"'!"&amp;CHAR(64+COLUMN())&amp;(ROW()-4))</f>
        <v>39303.5</v>
      </c>
      <c r="C24" s="43">
        <f t="array" aca="1" ref="C24" ca="1">INDIRECT("'"&amp;$B$3&amp;"'!"&amp;CHAR(64+COLUMN())&amp;(ROW()-4))</f>
        <v>91.3</v>
      </c>
      <c r="D24" s="43">
        <f t="array" aca="1" ref="D24" ca="1">INDIRECT("'"&amp;$B$3&amp;"'!"&amp;CHAR(64+COLUMN())&amp;(ROW()-4))</f>
        <v>89.1</v>
      </c>
      <c r="E24" s="43">
        <f t="array" aca="1" ref="E24" ca="1">INDIRECT("'"&amp;$B$3&amp;"'!"&amp;CHAR(64+COLUMN())&amp;(ROW()-4))</f>
        <v>91.3</v>
      </c>
      <c r="F24" s="43">
        <f t="array" aca="1" ref="F24" ca="1">INDIRECT("'"&amp;$B$3&amp;"'!"&amp;CHAR(64+COLUMN())&amp;(ROW()-4))</f>
        <v>38229</v>
      </c>
      <c r="G24" s="43">
        <f t="array" aca="1" ref="G24" ca="1">INDIRECT("'"&amp;$B$3&amp;"'!"&amp;CHAR(64+COLUMN())&amp;(ROW()-4))</f>
        <v>3.0474040632054211</v>
      </c>
      <c r="H24" s="43">
        <f t="array" aca="1" ref="H24" ca="1">INDIRECT("'"&amp;$B$3&amp;"'!"&amp;CHAR(64+COLUMN())&amp;(ROW()-4))</f>
        <v>88.78</v>
      </c>
      <c r="I24" s="43">
        <f t="array" aca="1" ref="I24" ca="1">INDIRECT("'"&amp;$B$3&amp;"'!"&amp;CHAR(64+COLUMN())&amp;(ROW()-4))</f>
        <v>88.299999999999983</v>
      </c>
      <c r="J24" s="43">
        <f t="array" aca="1" ref="J24" ca="1">INDIRECT("'"&amp;$B$3&amp;"'!"&amp;CHAR(64+COLUMN())&amp;(ROW()-4))</f>
        <v>87.97</v>
      </c>
      <c r="K24" s="43">
        <f t="array" aca="1" ref="K24" ca="1">INDIRECT("'"&amp;$B$3&amp;"'!"&amp;CHAR(64+COLUMN())&amp;(ROW()-4))</f>
        <v>82.523108282695148</v>
      </c>
      <c r="L24" s="43">
        <f t="array" aca="1" ref="L24" ca="1">INDIRECT("'"&amp;$B$3&amp;"'!"&amp;CHAR(64+COLUMN())&amp;(ROW()-4))</f>
        <v>66.919032000663464</v>
      </c>
      <c r="M24" s="43">
        <f t="array" aca="1" ref="M24" ca="1">INDIRECT("'"&amp;$B$3&amp;"'!"&amp;CHAR(64+COLUMN())&amp;(ROW()-4))</f>
        <v>72.248874937907772</v>
      </c>
      <c r="N24" s="43">
        <f t="array" aca="1" ref="N24" ca="1">INDIRECT("'"&amp;$B$3&amp;"'!"&amp;CHAR(64+COLUMN())&amp;(ROW()-4))</f>
        <v>59.62274514026624</v>
      </c>
      <c r="O24" s="43">
        <f t="array" aca="1" ref="O24" ca="1">INDIRECT("'"&amp;$B$3&amp;"'!"&amp;CHAR(64+COLUMN())&amp;(ROW()-4))</f>
        <v>0.40014240504083198</v>
      </c>
      <c r="Q24" s="84" t="s">
        <v>113</v>
      </c>
      <c r="R24" s="60" t="s">
        <v>114</v>
      </c>
      <c r="S24" s="61" t="str">
        <f ca="1">IF(OR(AND(LEFT($S$15,1)="🔴",RIGHT($S$15,2)="出場"),AND($S$15="🔴 觀望",$S$12="🔴")),ROUND(MAX(I25,E25*(1+N32*2)),1),"—")</f>
        <v>—</v>
      </c>
      <c r="T24" s="61" t="str">
        <f ca="1">IF(OR(AND(LEFT($S$15,1)="🔴",RIGHT($S$15,2)="出場"),AND($S$15="🔴 觀望",$S$12="🔴")),ROUND(E25*(1+N32*2.4),1),"—")</f>
        <v>—</v>
      </c>
    </row>
    <row r="25" spans="1:20" x14ac:dyDescent="0.2">
      <c r="A25" s="44">
        <f t="array" aca="1" ref="A25" ca="1">INDIRECT("'"&amp;$B$3&amp;"'!"&amp;CHAR(64+COLUMN())&amp;(ROW()-4))</f>
        <v>46142</v>
      </c>
      <c r="B25" s="43">
        <f t="array" aca="1" ref="B25" ca="1">INDIRECT("'"&amp;$B$3&amp;"'!"&amp;CHAR(64+COLUMN())&amp;(ROW()-4))</f>
        <v>38926.629999999997</v>
      </c>
      <c r="C25" s="43">
        <f t="array" aca="1" ref="C25" ca="1">INDIRECT("'"&amp;$B$3&amp;"'!"&amp;CHAR(64+COLUMN())&amp;(ROW()-4))</f>
        <v>91.8</v>
      </c>
      <c r="D25" s="43">
        <f t="array" aca="1" ref="D25" ca="1">INDIRECT("'"&amp;$B$3&amp;"'!"&amp;CHAR(64+COLUMN())&amp;(ROW()-4))</f>
        <v>90</v>
      </c>
      <c r="E25" s="43">
        <f t="array" aca="1" ref="E25" ca="1">INDIRECT("'"&amp;$B$3&amp;"'!"&amp;CHAR(64+COLUMN())&amp;(ROW()-4))</f>
        <v>90</v>
      </c>
      <c r="F25" s="43">
        <f t="array" aca="1" ref="F25" ca="1">INDIRECT("'"&amp;$B$3&amp;"'!"&amp;CHAR(64+COLUMN())&amp;(ROW()-4))</f>
        <v>31101</v>
      </c>
      <c r="G25" s="43">
        <f t="array" aca="1" ref="G25" ca="1">INDIRECT("'"&amp;$B$3&amp;"'!"&amp;CHAR(64+COLUMN())&amp;(ROW()-4))</f>
        <v>-1.423877327491782</v>
      </c>
      <c r="H25" s="43">
        <f t="array" aca="1" ref="H25" ca="1">INDIRECT("'"&amp;$B$3&amp;"'!"&amp;CHAR(64+COLUMN())&amp;(ROW()-4))</f>
        <v>89.11999999999999</v>
      </c>
      <c r="I25" s="43">
        <f t="array" aca="1" ref="I25" ca="1">INDIRECT("'"&amp;$B$3&amp;"'!"&amp;CHAR(64+COLUMN())&amp;(ROW()-4))</f>
        <v>88.509999999999991</v>
      </c>
      <c r="J25" s="43">
        <f t="array" aca="1" ref="J25" ca="1">INDIRECT("'"&amp;$B$3&amp;"'!"&amp;CHAR(64+COLUMN())&amp;(ROW()-4))</f>
        <v>88.169999999999987</v>
      </c>
      <c r="K25" s="43">
        <f t="array" aca="1" ref="K25" ca="1">INDIRECT("'"&amp;$B$3&amp;"'!"&amp;CHAR(64+COLUMN())&amp;(ROW()-4))</f>
        <v>63.15207428352759</v>
      </c>
      <c r="L25" s="43">
        <f t="array" aca="1" ref="L25" ca="1">INDIRECT("'"&amp;$B$3&amp;"'!"&amp;CHAR(64+COLUMN())&amp;(ROW()-4))</f>
        <v>58.062946355462543</v>
      </c>
      <c r="M25" s="43">
        <f t="array" aca="1" ref="M25" ca="1">INDIRECT("'"&amp;$B$3&amp;"'!"&amp;CHAR(64+COLUMN())&amp;(ROW()-4))</f>
        <v>68.455771697735628</v>
      </c>
      <c r="N25" s="43">
        <f t="array" aca="1" ref="N25" ca="1">INDIRECT("'"&amp;$B$3&amp;"'!"&amp;CHAR(64+COLUMN())&amp;(ROW()-4))</f>
        <v>62.567087326089357</v>
      </c>
      <c r="O25" s="43">
        <f t="array" aca="1" ref="O25" ca="1">INDIRECT("'"&amp;$B$3&amp;"'!"&amp;CHAR(64+COLUMN())&amp;(ROW()-4))</f>
        <v>0.4156742284540032</v>
      </c>
      <c r="Q25" s="63" t="s">
        <v>115</v>
      </c>
      <c r="R25" s="62" t="str">
        <f ca="1">IF(LEFT($S$15,1)="🟢","燈號偏多→顯示買進區間（以收盤 "&amp;TEXT(E25,"0.0")&amp;"、σ="&amp;TEXT(N32,"0.00%")&amp;"）",IF(OR(AND(LEFT($S$15,1)="🔴",RIGHT($S$15,2)="出場"),AND($S$15="🔴 觀望",$S$12="🔴")),"燈號偏空→顯示賣出區間（以收盤 "&amp;TEXT(E25,"0.0")&amp;"、σ="&amp;TEXT(N32,"0.00%")&amp;"）","目前燈號為「"&amp;$S$15&amp;"」，建議等待、不推薦進出場"))</f>
        <v>燈號偏多→顯示買進區間（以收盤 90.0、σ=1.07%）</v>
      </c>
    </row>
    <row r="26" spans="1:20" x14ac:dyDescent="0.2">
      <c r="Q26" s="64" t="s">
        <v>116</v>
      </c>
      <c r="R26" s="64" t="s">
        <v>117</v>
      </c>
      <c r="S26" s="64" t="s">
        <v>118</v>
      </c>
      <c r="T26" s="64" t="s">
        <v>115</v>
      </c>
    </row>
    <row r="27" spans="1:20" ht="17" customHeight="1" x14ac:dyDescent="0.2">
      <c r="A27" s="109" t="s">
        <v>119</v>
      </c>
      <c r="B27" s="106"/>
      <c r="C27" s="106"/>
      <c r="D27" s="106"/>
      <c r="E27" s="106"/>
      <c r="G27" s="109" t="s">
        <v>120</v>
      </c>
      <c r="H27" s="106"/>
      <c r="I27" s="106"/>
      <c r="J27" s="106"/>
      <c r="K27" s="106"/>
      <c r="M27" s="15" t="s">
        <v>121</v>
      </c>
      <c r="Q27" s="67" t="s">
        <v>122</v>
      </c>
      <c r="R27" s="68">
        <f ca="1">ROUND(E25*(1-N32),1)</f>
        <v>89</v>
      </c>
      <c r="S27" s="69">
        <f ca="1">ROUND((E25*(1-N32)-E25)/E25,4)</f>
        <v>-1.0699999999999999E-2</v>
      </c>
      <c r="T27" s="70" t="str">
        <f ca="1">"再跌 "&amp;TEXT(ABS((E25*(1-N32)-E25)/E25),"0.0%")&amp;" 至 "&amp;TEXT(E25*(1-N32),"0.0")&amp;" 進入積極買進區"</f>
        <v>再跌 1.1% 至 89.0 進入積極買進區</v>
      </c>
    </row>
    <row r="28" spans="1:20" x14ac:dyDescent="0.2">
      <c r="A28" s="7" t="s">
        <v>123</v>
      </c>
      <c r="B28" s="7" t="s">
        <v>124</v>
      </c>
      <c r="C28" s="7" t="s">
        <v>125</v>
      </c>
      <c r="D28" s="7" t="s">
        <v>126</v>
      </c>
      <c r="E28" s="7" t="s">
        <v>127</v>
      </c>
      <c r="G28" s="7" t="s">
        <v>123</v>
      </c>
      <c r="H28" s="7" t="s">
        <v>124</v>
      </c>
      <c r="I28" s="7" t="s">
        <v>125</v>
      </c>
      <c r="J28" s="7" t="s">
        <v>126</v>
      </c>
      <c r="K28" s="7" t="s">
        <v>127</v>
      </c>
      <c r="M28" s="1" t="s">
        <v>128</v>
      </c>
      <c r="N28" s="4">
        <f ca="1">MAX(C6:C25)</f>
        <v>91.8</v>
      </c>
      <c r="Q28" s="71" t="s">
        <v>129</v>
      </c>
      <c r="R28" s="72">
        <f ca="1">ROUND(MAX(H25,E25*(1+N32)),1)</f>
        <v>91</v>
      </c>
      <c r="S28" s="73">
        <f ca="1">ROUND((MAX(H25,E25*(1+N32))-E25)/E25,4)</f>
        <v>1.0699999999999999E-2</v>
      </c>
      <c r="T28" s="74" t="str">
        <f ca="1">"再漲 "&amp;TEXT(ABS((MAX(H25,E25*(1+N32))-E25)/E25),"0.0%")&amp;" 至 "&amp;TEXT(MAX(H25,E25*(1+N32)),"0.0")&amp;" 進入反彈賣出區"</f>
        <v>再漲 1.1% 至 91.0 進入反彈賣出區</v>
      </c>
    </row>
    <row r="29" spans="1:20" x14ac:dyDescent="0.2">
      <c r="A29" s="1" t="s">
        <v>130</v>
      </c>
      <c r="B29" s="117">
        <v>3</v>
      </c>
      <c r="C29" s="117">
        <v>0.49</v>
      </c>
      <c r="D29" s="117">
        <v>2.74</v>
      </c>
      <c r="E29" s="117">
        <v>2.14</v>
      </c>
      <c r="G29" s="1" t="s">
        <v>130</v>
      </c>
      <c r="H29" s="8"/>
      <c r="I29" s="8"/>
      <c r="J29" s="8"/>
      <c r="K29" s="8"/>
      <c r="M29" s="1" t="s">
        <v>131</v>
      </c>
      <c r="N29" s="4">
        <f ca="1">MIN(D6:D25)</f>
        <v>86.5</v>
      </c>
    </row>
    <row r="30" spans="1:20" ht="16" customHeight="1" x14ac:dyDescent="0.2">
      <c r="A30" s="1" t="s">
        <v>132</v>
      </c>
      <c r="B30" s="107">
        <f>SUM(B29:E29)</f>
        <v>8.370000000000001</v>
      </c>
      <c r="C30" s="106"/>
      <c r="D30" s="106"/>
      <c r="E30" s="106"/>
      <c r="G30" s="1" t="s">
        <v>132</v>
      </c>
      <c r="H30" s="107"/>
      <c r="I30" s="106"/>
      <c r="J30" s="106"/>
      <c r="K30" s="106"/>
      <c r="M30" s="1" t="s">
        <v>133</v>
      </c>
      <c r="N30" s="4">
        <f ca="1">AVERAGE(E6:E25)</f>
        <v>88.169999999999987</v>
      </c>
    </row>
    <row r="31" spans="1:20" x14ac:dyDescent="0.2">
      <c r="A31" s="9" t="s">
        <v>134</v>
      </c>
      <c r="C31" s="10">
        <f>IF(B29=0,"—",(C29-B29)/ABS(B29))</f>
        <v>-0.83666666666666656</v>
      </c>
      <c r="D31" s="11">
        <f>IF(C29=0,"—",(D29-C29)/ABS(C29))</f>
        <v>4.591836734693878</v>
      </c>
      <c r="E31" s="10">
        <f>IF(D29=0,"—",(E29-D29)/ABS(D29))</f>
        <v>-0.21897810218978103</v>
      </c>
      <c r="G31" s="9" t="s">
        <v>134</v>
      </c>
      <c r="H31" t="s">
        <v>95</v>
      </c>
      <c r="I31" s="10"/>
      <c r="J31" s="11"/>
      <c r="K31" s="10"/>
      <c r="M31" s="1" t="s">
        <v>135</v>
      </c>
      <c r="N31" s="6">
        <f ca="1">(E25-E6)/E6</f>
        <v>2.505694760820049E-2</v>
      </c>
    </row>
    <row r="32" spans="1:20" x14ac:dyDescent="0.2">
      <c r="A32" s="110" t="s">
        <v>174</v>
      </c>
      <c r="B32" s="106"/>
      <c r="C32" s="106"/>
      <c r="D32" s="106"/>
      <c r="E32" s="106"/>
      <c r="M32" s="1" t="s">
        <v>137</v>
      </c>
      <c r="N32" s="23">
        <f ca="1">STDEV(G7:G25)/100</f>
        <v>1.0674944833498609E-2</v>
      </c>
    </row>
    <row r="33" spans="1:14" ht="17" customHeight="1" x14ac:dyDescent="0.2">
      <c r="A33" s="108" t="s">
        <v>189</v>
      </c>
      <c r="B33" s="106"/>
      <c r="C33" s="106"/>
      <c r="D33" s="106"/>
      <c r="E33" s="106"/>
      <c r="G33" s="111" t="s">
        <v>139</v>
      </c>
      <c r="H33" s="106"/>
      <c r="I33" s="106"/>
      <c r="J33" s="106"/>
      <c r="M33" s="1" t="s">
        <v>140</v>
      </c>
      <c r="N33" s="4">
        <f ca="1">E25</f>
        <v>90</v>
      </c>
    </row>
    <row r="34" spans="1:14" x14ac:dyDescent="0.2">
      <c r="A34" t="s">
        <v>141</v>
      </c>
      <c r="B34" s="3">
        <v>4.25</v>
      </c>
      <c r="H34" s="13" t="s">
        <v>142</v>
      </c>
      <c r="I34" s="13" t="s">
        <v>143</v>
      </c>
      <c r="J34" s="13" t="s">
        <v>144</v>
      </c>
    </row>
    <row r="35" spans="1:14" ht="17" customHeight="1" x14ac:dyDescent="0.25">
      <c r="A35" s="40" t="s">
        <v>145</v>
      </c>
      <c r="B35" s="3">
        <v>63.3</v>
      </c>
      <c r="G35" t="s">
        <v>146</v>
      </c>
      <c r="H35" s="27">
        <f>B36*B30</f>
        <v>83.700000000000017</v>
      </c>
      <c r="I35" s="27">
        <f>C36*B30</f>
        <v>100.44000000000001</v>
      </c>
      <c r="J35" s="27">
        <f>D36*B30</f>
        <v>125.55000000000001</v>
      </c>
    </row>
    <row r="36" spans="1:14" ht="17" customHeight="1" x14ac:dyDescent="0.2">
      <c r="A36" t="s">
        <v>147</v>
      </c>
      <c r="B36" s="3">
        <v>10</v>
      </c>
      <c r="C36" s="3">
        <v>12</v>
      </c>
      <c r="D36" s="3">
        <v>15</v>
      </c>
      <c r="G36" t="s">
        <v>148</v>
      </c>
      <c r="H36" s="27">
        <f>B37*B35</f>
        <v>56.97</v>
      </c>
      <c r="I36" s="27">
        <f>C37*B35</f>
        <v>75.959999999999994</v>
      </c>
      <c r="J36" s="27">
        <f>D37*B35</f>
        <v>94.949999999999989</v>
      </c>
    </row>
    <row r="37" spans="1:14" ht="17" customHeight="1" x14ac:dyDescent="0.2">
      <c r="A37" t="s">
        <v>149</v>
      </c>
      <c r="B37" s="3">
        <v>0.9</v>
      </c>
      <c r="C37" s="3">
        <v>1.2</v>
      </c>
      <c r="D37" s="3">
        <v>1.5</v>
      </c>
      <c r="G37" t="s">
        <v>150</v>
      </c>
      <c r="H37" s="27">
        <f>B34/B38</f>
        <v>70.833333333333343</v>
      </c>
      <c r="I37" s="27">
        <f>B34/C38</f>
        <v>85</v>
      </c>
      <c r="J37" s="27">
        <f>B34/D38</f>
        <v>106.25</v>
      </c>
    </row>
    <row r="38" spans="1:14" ht="17" customHeight="1" x14ac:dyDescent="0.25">
      <c r="A38" s="40" t="s">
        <v>151</v>
      </c>
      <c r="B38" s="37">
        <v>0.06</v>
      </c>
      <c r="C38" s="37">
        <v>0.05</v>
      </c>
      <c r="D38" s="37">
        <v>0.04</v>
      </c>
      <c r="G38" s="29" t="s">
        <v>152</v>
      </c>
      <c r="H38" s="38">
        <f>AVERAGE(H35,H36,H37)</f>
        <v>70.501111111111115</v>
      </c>
      <c r="I38" s="38">
        <f>AVERAGE(I35,I36,I37)</f>
        <v>87.133333333333326</v>
      </c>
      <c r="J38" s="39">
        <f>AVERAGE(J35,J36,J37)</f>
        <v>108.91666666666667</v>
      </c>
    </row>
    <row r="39" spans="1:14" x14ac:dyDescent="0.2">
      <c r="G39" s="12"/>
    </row>
  </sheetData>
  <mergeCells count="8">
    <mergeCell ref="A1:G1"/>
    <mergeCell ref="H30:K30"/>
    <mergeCell ref="B30:E30"/>
    <mergeCell ref="A33:E33"/>
    <mergeCell ref="G27:K27"/>
    <mergeCell ref="A32:E32"/>
    <mergeCell ref="G33:J33"/>
    <mergeCell ref="A27:E27"/>
  </mergeCells>
  <phoneticPr fontId="1" type="noConversion"/>
  <conditionalFormatting sqref="G6:G25">
    <cfRule type="cellIs" dxfId="1" priority="1" operator="lessThan">
      <formula>0</formula>
    </cfRule>
  </conditionalFormatting>
  <conditionalFormatting sqref="O6:O25">
    <cfRule type="cellIs" dxfId="0" priority="2" operator="lessThan">
      <formula>0</formula>
    </cfRule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27.7</v>
      </c>
      <c r="D2" s="43">
        <v>26.95</v>
      </c>
      <c r="E2" s="43">
        <v>27.45</v>
      </c>
      <c r="F2" s="5">
        <v>34084</v>
      </c>
      <c r="G2" s="85">
        <v>1.855287569573284</v>
      </c>
      <c r="H2" s="4">
        <v>28.88</v>
      </c>
      <c r="I2" s="4">
        <v>30.59</v>
      </c>
      <c r="J2" s="4">
        <v>31.237500000000001</v>
      </c>
      <c r="K2" s="4">
        <v>19.637594112000471</v>
      </c>
      <c r="L2" s="4">
        <v>28.89693400902695</v>
      </c>
      <c r="M2" s="4">
        <v>10.593780874835851</v>
      </c>
      <c r="N2" s="4">
        <v>20.699363879974261</v>
      </c>
      <c r="O2" s="85">
        <v>-0.59574372005737508</v>
      </c>
    </row>
    <row r="3" spans="1:15" x14ac:dyDescent="0.2">
      <c r="A3" s="44">
        <v>46114</v>
      </c>
      <c r="B3" s="43">
        <v>32572.43</v>
      </c>
      <c r="C3" s="43">
        <v>27.75</v>
      </c>
      <c r="D3" s="43">
        <v>27</v>
      </c>
      <c r="E3" s="43">
        <v>27.4</v>
      </c>
      <c r="F3" s="5">
        <v>20383</v>
      </c>
      <c r="G3" s="85">
        <v>-0.1821493624772339</v>
      </c>
      <c r="H3" s="4">
        <v>28.06</v>
      </c>
      <c r="I3" s="4">
        <v>30.07</v>
      </c>
      <c r="J3" s="4">
        <v>31.087500000000009</v>
      </c>
      <c r="K3" s="4">
        <v>19.399022947272101</v>
      </c>
      <c r="L3" s="4">
        <v>28.710340232367241</v>
      </c>
      <c r="M3" s="4">
        <v>9.8194128138003247</v>
      </c>
      <c r="N3" s="4">
        <v>17.072713524582952</v>
      </c>
      <c r="O3" s="85">
        <v>-0.60163434654857384</v>
      </c>
    </row>
    <row r="4" spans="1:15" x14ac:dyDescent="0.2">
      <c r="A4" s="44">
        <v>46119</v>
      </c>
      <c r="B4" s="43">
        <v>33229.82</v>
      </c>
      <c r="C4" s="43">
        <v>27.3</v>
      </c>
      <c r="D4" s="43">
        <v>26.85</v>
      </c>
      <c r="E4" s="43">
        <v>26.85</v>
      </c>
      <c r="F4" s="5">
        <v>19351</v>
      </c>
      <c r="G4" s="85">
        <v>-2.0072992700729819</v>
      </c>
      <c r="H4" s="4">
        <v>27.38</v>
      </c>
      <c r="I4" s="4">
        <v>29.454999999999998</v>
      </c>
      <c r="J4" s="4">
        <v>30.857500000000009</v>
      </c>
      <c r="K4" s="4">
        <v>16.718067073327109</v>
      </c>
      <c r="L4" s="4">
        <v>26.64565860138282</v>
      </c>
      <c r="M4" s="4">
        <v>6.5462752092002159</v>
      </c>
      <c r="N4" s="4">
        <v>13.563900752788699</v>
      </c>
      <c r="O4" s="85">
        <v>-0.60626194240677356</v>
      </c>
    </row>
    <row r="5" spans="1:15" x14ac:dyDescent="0.2">
      <c r="A5" s="44">
        <v>46120</v>
      </c>
      <c r="B5" s="43">
        <v>34761.379999999997</v>
      </c>
      <c r="C5" s="43">
        <v>27.9</v>
      </c>
      <c r="D5" s="43">
        <v>26.75</v>
      </c>
      <c r="E5" s="43">
        <v>27.9</v>
      </c>
      <c r="F5" s="5">
        <v>32325</v>
      </c>
      <c r="G5" s="85">
        <v>3.9106145251396538</v>
      </c>
      <c r="H5" s="4">
        <v>27.31</v>
      </c>
      <c r="I5" s="4">
        <v>28.974999999999991</v>
      </c>
      <c r="J5" s="4">
        <v>30.687499999999989</v>
      </c>
      <c r="K5" s="4">
        <v>36.744932807932642</v>
      </c>
      <c r="L5" s="4">
        <v>36.200953852941083</v>
      </c>
      <c r="M5" s="4">
        <v>11.271090379707051</v>
      </c>
      <c r="N5" s="4">
        <v>12.799630628428149</v>
      </c>
      <c r="O5" s="85">
        <v>-0.50636525320236281</v>
      </c>
    </row>
    <row r="6" spans="1:15" x14ac:dyDescent="0.2">
      <c r="A6" s="44">
        <v>46121</v>
      </c>
      <c r="B6" s="43">
        <v>34861.160000000003</v>
      </c>
      <c r="C6" s="43">
        <v>27.75</v>
      </c>
      <c r="D6" s="43">
        <v>27</v>
      </c>
      <c r="E6" s="43">
        <v>27.3</v>
      </c>
      <c r="F6" s="5">
        <v>28992</v>
      </c>
      <c r="G6" s="85">
        <v>-2.1505376344085949</v>
      </c>
      <c r="H6" s="4">
        <v>27.38</v>
      </c>
      <c r="I6" s="4">
        <v>28.535</v>
      </c>
      <c r="J6" s="4">
        <v>30.465</v>
      </c>
      <c r="K6" s="4">
        <v>31.543579426880729</v>
      </c>
      <c r="L6" s="4">
        <v>33.482125322553607</v>
      </c>
      <c r="M6" s="4">
        <v>11.006123745201529</v>
      </c>
      <c r="N6" s="4">
        <v>12.201795000685941</v>
      </c>
      <c r="O6" s="85">
        <v>-0.45033655307209841</v>
      </c>
    </row>
    <row r="7" spans="1:15" x14ac:dyDescent="0.2">
      <c r="A7" s="44">
        <v>46122</v>
      </c>
      <c r="B7" s="43">
        <v>35417.83</v>
      </c>
      <c r="C7" s="43">
        <v>28.65</v>
      </c>
      <c r="D7" s="43">
        <v>27.9</v>
      </c>
      <c r="E7" s="43">
        <v>28.2</v>
      </c>
      <c r="F7" s="5">
        <v>36016</v>
      </c>
      <c r="G7" s="85">
        <v>3.2967032967032912</v>
      </c>
      <c r="H7" s="4">
        <v>27.53</v>
      </c>
      <c r="I7" s="4">
        <v>28.204999999999998</v>
      </c>
      <c r="J7" s="4">
        <v>30.25749999999999</v>
      </c>
      <c r="K7" s="4">
        <v>45.444152755208137</v>
      </c>
      <c r="L7" s="4">
        <v>40.762270336729351</v>
      </c>
      <c r="M7" s="4">
        <v>21.14693963965815</v>
      </c>
      <c r="N7" s="4">
        <v>15.183509880343349</v>
      </c>
      <c r="O7" s="85">
        <v>-0.32798767184852973</v>
      </c>
    </row>
    <row r="8" spans="1:15" x14ac:dyDescent="0.2">
      <c r="A8" s="44">
        <v>46125</v>
      </c>
      <c r="B8" s="43">
        <v>35457.29</v>
      </c>
      <c r="C8" s="43">
        <v>29.1</v>
      </c>
      <c r="D8" s="43">
        <v>27.7</v>
      </c>
      <c r="E8" s="43">
        <v>29</v>
      </c>
      <c r="F8" s="5">
        <v>27744</v>
      </c>
      <c r="G8" s="85">
        <v>2.8368794326241158</v>
      </c>
      <c r="H8" s="4">
        <v>27.85</v>
      </c>
      <c r="I8" s="4">
        <v>27.954999999999998</v>
      </c>
      <c r="J8" s="4">
        <v>30.074999999999999</v>
      </c>
      <c r="K8" s="4">
        <v>55.156914522621229</v>
      </c>
      <c r="L8" s="4">
        <v>46.445955099554062</v>
      </c>
      <c r="M8" s="4">
        <v>41.370687032499383</v>
      </c>
      <c r="N8" s="4">
        <v>23.912568931062019</v>
      </c>
      <c r="O8" s="85">
        <v>-0.1761185326093174</v>
      </c>
    </row>
    <row r="9" spans="1:15" x14ac:dyDescent="0.2">
      <c r="A9" s="44">
        <v>46126</v>
      </c>
      <c r="B9" s="43">
        <v>36296.120000000003</v>
      </c>
      <c r="C9" s="43">
        <v>29.75</v>
      </c>
      <c r="D9" s="43">
        <v>29.1</v>
      </c>
      <c r="E9" s="43">
        <v>29.5</v>
      </c>
      <c r="F9" s="5">
        <v>35883</v>
      </c>
      <c r="G9" s="85">
        <v>1.7241379310344831</v>
      </c>
      <c r="H9" s="4">
        <v>28.38</v>
      </c>
      <c r="I9" s="4">
        <v>27.88</v>
      </c>
      <c r="J9" s="4">
        <v>29.94</v>
      </c>
      <c r="K9" s="4">
        <v>60.439263222226472</v>
      </c>
      <c r="L9" s="4">
        <v>49.734261108837849</v>
      </c>
      <c r="M9" s="4">
        <v>58.136013577221803</v>
      </c>
      <c r="N9" s="4">
        <v>35.320383813115278</v>
      </c>
      <c r="O9" s="85">
        <v>-3.2451788163472051E-2</v>
      </c>
    </row>
    <row r="10" spans="1:15" x14ac:dyDescent="0.2">
      <c r="A10" s="44">
        <v>46127</v>
      </c>
      <c r="B10" s="43">
        <v>36722.14</v>
      </c>
      <c r="C10" s="43">
        <v>29.95</v>
      </c>
      <c r="D10" s="43">
        <v>29.05</v>
      </c>
      <c r="E10" s="43">
        <v>29.45</v>
      </c>
      <c r="F10" s="5">
        <v>33328</v>
      </c>
      <c r="G10" s="85">
        <v>-0.16949152542373119</v>
      </c>
      <c r="H10" s="4">
        <v>28.69</v>
      </c>
      <c r="I10" s="4">
        <v>28</v>
      </c>
      <c r="J10" s="4">
        <v>29.827500000000001</v>
      </c>
      <c r="K10" s="4">
        <v>59.596829043453219</v>
      </c>
      <c r="L10" s="4">
        <v>49.403339735890619</v>
      </c>
      <c r="M10" s="4">
        <v>66.882342384814535</v>
      </c>
      <c r="N10" s="4">
        <v>45.841036670348359</v>
      </c>
      <c r="O10" s="85">
        <v>6.3516855080622991E-2</v>
      </c>
    </row>
    <row r="11" spans="1:15" x14ac:dyDescent="0.2">
      <c r="A11" s="44">
        <v>46128</v>
      </c>
      <c r="B11" s="43">
        <v>37132.019999999997</v>
      </c>
      <c r="C11" s="43">
        <v>30.7</v>
      </c>
      <c r="D11" s="43">
        <v>29.2</v>
      </c>
      <c r="E11" s="43">
        <v>29.4</v>
      </c>
      <c r="F11" s="5">
        <v>66959</v>
      </c>
      <c r="G11" s="85">
        <v>-0.16977928692699731</v>
      </c>
      <c r="H11" s="4">
        <v>29.11</v>
      </c>
      <c r="I11" s="4">
        <v>28.245000000000001</v>
      </c>
      <c r="J11" s="4">
        <v>29.6875</v>
      </c>
      <c r="K11" s="4">
        <v>58.616397696866329</v>
      </c>
      <c r="L11" s="4">
        <v>49.04732088171302</v>
      </c>
      <c r="M11" s="4">
        <v>66.951097454855244</v>
      </c>
      <c r="N11" s="4">
        <v>52.877723598517321</v>
      </c>
      <c r="O11" s="85">
        <v>0.1244136499368564</v>
      </c>
    </row>
    <row r="12" spans="1:15" x14ac:dyDescent="0.2">
      <c r="A12" s="44">
        <v>46129</v>
      </c>
      <c r="B12" s="43">
        <v>36804.339999999997</v>
      </c>
      <c r="C12" s="43">
        <v>31.8</v>
      </c>
      <c r="D12" s="43">
        <v>29.6</v>
      </c>
      <c r="E12" s="43">
        <v>30.35</v>
      </c>
      <c r="F12" s="5">
        <v>99623</v>
      </c>
      <c r="G12" s="85">
        <v>3.2312925170068132</v>
      </c>
      <c r="H12" s="4">
        <v>29.54</v>
      </c>
      <c r="I12" s="4">
        <v>28.535</v>
      </c>
      <c r="J12" s="4">
        <v>29.5625</v>
      </c>
      <c r="K12" s="4">
        <v>69.904679731242453</v>
      </c>
      <c r="L12" s="4">
        <v>55.668976756445879</v>
      </c>
      <c r="M12" s="4">
        <v>68.396441207527261</v>
      </c>
      <c r="N12" s="4">
        <v>58.050629468187303</v>
      </c>
      <c r="O12" s="85">
        <v>0.2236698790078048</v>
      </c>
    </row>
    <row r="13" spans="1:15" x14ac:dyDescent="0.2">
      <c r="A13" s="44">
        <v>46132</v>
      </c>
      <c r="B13" s="43">
        <v>36958.800000000003</v>
      </c>
      <c r="C13" s="43">
        <v>31.35</v>
      </c>
      <c r="D13" s="43">
        <v>29.75</v>
      </c>
      <c r="E13" s="43">
        <v>30.25</v>
      </c>
      <c r="F13" s="5">
        <v>74532</v>
      </c>
      <c r="G13" s="85">
        <v>-0.32948929159802781</v>
      </c>
      <c r="H13" s="4">
        <v>29.79</v>
      </c>
      <c r="I13" s="4">
        <v>28.82</v>
      </c>
      <c r="J13" s="4">
        <v>29.445</v>
      </c>
      <c r="K13" s="4">
        <v>67.576311403748733</v>
      </c>
      <c r="L13" s="4">
        <v>54.850427989266599</v>
      </c>
      <c r="M13" s="4">
        <v>68.699937702707942</v>
      </c>
      <c r="N13" s="4">
        <v>61.600398879694183</v>
      </c>
      <c r="O13" s="85">
        <v>0.27424754685119163</v>
      </c>
    </row>
    <row r="14" spans="1:15" x14ac:dyDescent="0.2">
      <c r="A14" s="44">
        <v>46133</v>
      </c>
      <c r="B14" s="43">
        <v>37605.11</v>
      </c>
      <c r="C14" s="43">
        <v>31.95</v>
      </c>
      <c r="D14" s="43">
        <v>30.75</v>
      </c>
      <c r="E14" s="43">
        <v>31.45</v>
      </c>
      <c r="F14" s="5">
        <v>89706</v>
      </c>
      <c r="G14" s="85">
        <v>3.966942148760328</v>
      </c>
      <c r="H14" s="4">
        <v>30.18</v>
      </c>
      <c r="I14" s="4">
        <v>29.28</v>
      </c>
      <c r="J14" s="4">
        <v>29.3675</v>
      </c>
      <c r="K14" s="4">
        <v>78.08664988251185</v>
      </c>
      <c r="L14" s="4">
        <v>62.138307036597077</v>
      </c>
      <c r="M14" s="4">
        <v>75.766288434801922</v>
      </c>
      <c r="N14" s="4">
        <v>66.322362064730086</v>
      </c>
      <c r="O14" s="85">
        <v>0.37400096798272009</v>
      </c>
    </row>
    <row r="15" spans="1:15" x14ac:dyDescent="0.2">
      <c r="A15" s="44">
        <v>46134</v>
      </c>
      <c r="B15" s="43">
        <v>37878.47</v>
      </c>
      <c r="C15" s="43">
        <v>33.25</v>
      </c>
      <c r="D15" s="43">
        <v>31.55</v>
      </c>
      <c r="E15" s="43">
        <v>32.75</v>
      </c>
      <c r="F15" s="5">
        <v>109771</v>
      </c>
      <c r="G15" s="85">
        <v>4.1335453100159008</v>
      </c>
      <c r="H15" s="4">
        <v>30.84</v>
      </c>
      <c r="I15" s="4">
        <v>29.765000000000001</v>
      </c>
      <c r="J15" s="4">
        <v>29.37</v>
      </c>
      <c r="K15" s="4">
        <v>84.583295561992486</v>
      </c>
      <c r="L15" s="4">
        <v>68.203885649888335</v>
      </c>
      <c r="M15" s="4">
        <v>80.841189286864946</v>
      </c>
      <c r="N15" s="4">
        <v>71.16197113877503</v>
      </c>
      <c r="O15" s="85">
        <v>0.50487690193529022</v>
      </c>
    </row>
    <row r="16" spans="1:15" x14ac:dyDescent="0.2">
      <c r="A16" s="44">
        <v>46135</v>
      </c>
      <c r="B16" s="43">
        <v>37714.15</v>
      </c>
      <c r="C16" s="43">
        <v>33.549999999999997</v>
      </c>
      <c r="D16" s="43">
        <v>30.6</v>
      </c>
      <c r="E16" s="43">
        <v>31.2</v>
      </c>
      <c r="F16" s="5">
        <v>76327</v>
      </c>
      <c r="G16" s="85">
        <v>-4.7328244274809181</v>
      </c>
      <c r="H16" s="4">
        <v>31.2</v>
      </c>
      <c r="I16" s="4">
        <v>30.155000000000001</v>
      </c>
      <c r="J16" s="4">
        <v>29.344999999999999</v>
      </c>
      <c r="K16" s="4">
        <v>59.390882265602187</v>
      </c>
      <c r="L16" s="4">
        <v>56.442570272948899</v>
      </c>
      <c r="M16" s="4">
        <v>73.837146134263236</v>
      </c>
      <c r="N16" s="4">
        <v>72.053696137271089</v>
      </c>
      <c r="O16" s="85">
        <v>0.46536803279484779</v>
      </c>
    </row>
    <row r="17" spans="1:15" x14ac:dyDescent="0.2">
      <c r="A17" s="44">
        <v>46136</v>
      </c>
      <c r="B17" s="43">
        <v>38932.400000000001</v>
      </c>
      <c r="C17" s="43">
        <v>31.3</v>
      </c>
      <c r="D17" s="43">
        <v>30</v>
      </c>
      <c r="E17" s="43">
        <v>30.3</v>
      </c>
      <c r="F17" s="5">
        <v>35382</v>
      </c>
      <c r="G17" s="85">
        <v>-2.8846153846153801</v>
      </c>
      <c r="H17" s="4">
        <v>31.19</v>
      </c>
      <c r="I17" s="4">
        <v>30.364999999999998</v>
      </c>
      <c r="J17" s="4">
        <v>29.285</v>
      </c>
      <c r="K17" s="4">
        <v>49.183844914474172</v>
      </c>
      <c r="L17" s="4">
        <v>50.884411987850122</v>
      </c>
      <c r="M17" s="4">
        <v>58.484023348768091</v>
      </c>
      <c r="N17" s="4">
        <v>67.530471874436756</v>
      </c>
      <c r="O17" s="85">
        <v>0.36155720378399281</v>
      </c>
    </row>
    <row r="18" spans="1:15" x14ac:dyDescent="0.2">
      <c r="A18" s="44">
        <v>46139</v>
      </c>
      <c r="B18" s="43">
        <v>39616.629999999997</v>
      </c>
      <c r="C18" s="43">
        <v>30.65</v>
      </c>
      <c r="D18" s="43">
        <v>29.5</v>
      </c>
      <c r="E18" s="43">
        <v>30</v>
      </c>
      <c r="F18" s="5">
        <v>34784</v>
      </c>
      <c r="G18" s="85">
        <v>-0.99009900990099231</v>
      </c>
      <c r="H18" s="4">
        <v>31.14</v>
      </c>
      <c r="I18" s="4">
        <v>30.465</v>
      </c>
      <c r="J18" s="4">
        <v>29.21</v>
      </c>
      <c r="K18" s="4">
        <v>46.020195313383972</v>
      </c>
      <c r="L18" s="4">
        <v>49.125287636625323</v>
      </c>
      <c r="M18" s="4">
        <v>46.02638593621576</v>
      </c>
      <c r="N18" s="4">
        <v>60.362443228363091</v>
      </c>
      <c r="O18" s="85">
        <v>0.26035162354601837</v>
      </c>
    </row>
    <row r="19" spans="1:15" x14ac:dyDescent="0.2">
      <c r="A19" s="44">
        <v>46140</v>
      </c>
      <c r="B19" s="43">
        <v>39521.730000000003</v>
      </c>
      <c r="C19" s="43">
        <v>30.45</v>
      </c>
      <c r="D19" s="43">
        <v>29.6</v>
      </c>
      <c r="E19" s="43">
        <v>29.85</v>
      </c>
      <c r="F19" s="5">
        <v>45089</v>
      </c>
      <c r="G19" s="85">
        <v>-0.49999999999999523</v>
      </c>
      <c r="H19" s="4">
        <v>30.82</v>
      </c>
      <c r="I19" s="4">
        <v>30.5</v>
      </c>
      <c r="J19" s="4">
        <v>29.19</v>
      </c>
      <c r="K19" s="4">
        <v>44.310101655550483</v>
      </c>
      <c r="L19" s="4">
        <v>48.216081706026443</v>
      </c>
      <c r="M19" s="4">
        <v>35.665100202687917</v>
      </c>
      <c r="N19" s="4">
        <v>52.129995553138031</v>
      </c>
      <c r="O19" s="85">
        <v>0.1750635820760664</v>
      </c>
    </row>
    <row r="20" spans="1:15" x14ac:dyDescent="0.2">
      <c r="A20" s="44">
        <v>46141</v>
      </c>
      <c r="B20" s="43">
        <v>39303.5</v>
      </c>
      <c r="C20" s="43">
        <v>30.15</v>
      </c>
      <c r="D20" s="43">
        <v>29.3</v>
      </c>
      <c r="E20" s="43">
        <v>29.7</v>
      </c>
      <c r="F20" s="5">
        <v>29810</v>
      </c>
      <c r="G20" s="85">
        <v>-0.50251256281407752</v>
      </c>
      <c r="H20" s="4">
        <v>30.21</v>
      </c>
      <c r="I20" s="4">
        <v>30.524999999999999</v>
      </c>
      <c r="J20" s="4">
        <v>29.26250000000001</v>
      </c>
      <c r="K20" s="4">
        <v>42.418590452362039</v>
      </c>
      <c r="L20" s="4">
        <v>47.261844423253429</v>
      </c>
      <c r="M20" s="4">
        <v>26.913988370419389</v>
      </c>
      <c r="N20" s="4">
        <v>43.724659825565148</v>
      </c>
      <c r="O20" s="85">
        <v>0.1038242802823328</v>
      </c>
    </row>
    <row r="21" spans="1:15" x14ac:dyDescent="0.2">
      <c r="A21" s="44">
        <v>46142</v>
      </c>
      <c r="B21" s="43">
        <v>38926.629999999997</v>
      </c>
      <c r="C21" s="43">
        <v>29.55</v>
      </c>
      <c r="D21" s="43">
        <v>29</v>
      </c>
      <c r="E21" s="43">
        <v>29</v>
      </c>
      <c r="F21" s="5">
        <v>24600</v>
      </c>
      <c r="G21" s="85">
        <v>-2.3569023569023551</v>
      </c>
      <c r="H21" s="4">
        <v>29.77</v>
      </c>
      <c r="I21" s="4">
        <v>30.484999999999999</v>
      </c>
      <c r="J21" s="4">
        <v>29.364999999999998</v>
      </c>
      <c r="K21" s="4">
        <v>34.23468604419287</v>
      </c>
      <c r="L21" s="4">
        <v>42.935905037002208</v>
      </c>
      <c r="M21" s="4">
        <v>17.942658913612931</v>
      </c>
      <c r="N21" s="4">
        <v>35.130659521581073</v>
      </c>
      <c r="O21" s="85">
        <v>9.7885866297538482E-3</v>
      </c>
    </row>
  </sheetData>
  <autoFilter ref="A1:O21" xr:uid="{00000000-0009-0000-0000-00000E000000}"/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291</v>
      </c>
      <c r="D2" s="43">
        <v>285</v>
      </c>
      <c r="E2" s="43">
        <v>290.5</v>
      </c>
      <c r="F2" s="5">
        <v>18751</v>
      </c>
      <c r="G2" s="85">
        <v>4.3087971274685817</v>
      </c>
      <c r="H2" s="4">
        <v>285.2</v>
      </c>
      <c r="I2" s="4">
        <v>284.25</v>
      </c>
      <c r="J2" s="4">
        <v>286.14999999999998</v>
      </c>
      <c r="K2" s="4">
        <v>60.638174254841843</v>
      </c>
      <c r="L2" s="4">
        <v>55.166956081867383</v>
      </c>
      <c r="M2" s="4">
        <v>56.879007827280617</v>
      </c>
      <c r="N2" s="4">
        <v>49.089058873091211</v>
      </c>
      <c r="O2" s="85">
        <v>-0.32147254788004848</v>
      </c>
    </row>
    <row r="3" spans="1:15" x14ac:dyDescent="0.2">
      <c r="A3" s="44">
        <v>46114</v>
      </c>
      <c r="B3" s="43">
        <v>32572.43</v>
      </c>
      <c r="C3" s="43">
        <v>291.5</v>
      </c>
      <c r="D3" s="43">
        <v>284.5</v>
      </c>
      <c r="E3" s="43">
        <v>284.5</v>
      </c>
      <c r="F3" s="5">
        <v>11221</v>
      </c>
      <c r="G3" s="85">
        <v>-2.0654044750430289</v>
      </c>
      <c r="H3" s="4">
        <v>284.7</v>
      </c>
      <c r="I3" s="4">
        <v>284.05</v>
      </c>
      <c r="J3" s="4">
        <v>285.89999999999998</v>
      </c>
      <c r="K3" s="4">
        <v>48.736379470164593</v>
      </c>
      <c r="L3" s="4">
        <v>49.057260913408243</v>
      </c>
      <c r="M3" s="4">
        <v>56.669338551520411</v>
      </c>
      <c r="N3" s="4">
        <v>51.61581876590094</v>
      </c>
      <c r="O3" s="85">
        <v>-0.303066045263233</v>
      </c>
    </row>
    <row r="4" spans="1:15" x14ac:dyDescent="0.2">
      <c r="A4" s="44">
        <v>46119</v>
      </c>
      <c r="B4" s="43">
        <v>33229.82</v>
      </c>
      <c r="C4" s="43">
        <v>289.5</v>
      </c>
      <c r="D4" s="43">
        <v>284</v>
      </c>
      <c r="E4" s="43">
        <v>289</v>
      </c>
      <c r="F4" s="5">
        <v>9060</v>
      </c>
      <c r="G4" s="85">
        <v>1.581722319859403</v>
      </c>
      <c r="H4" s="4">
        <v>284.7</v>
      </c>
      <c r="I4" s="4">
        <v>284.60000000000002</v>
      </c>
      <c r="J4" s="4">
        <v>285.89999999999998</v>
      </c>
      <c r="K4" s="4">
        <v>56.432494422952843</v>
      </c>
      <c r="L4" s="4">
        <v>53.289809779592943</v>
      </c>
      <c r="M4" s="4">
        <v>64.940052861507439</v>
      </c>
      <c r="N4" s="4">
        <v>56.057230131103097</v>
      </c>
      <c r="O4" s="85">
        <v>1.038980708175608E-2</v>
      </c>
    </row>
    <row r="5" spans="1:15" x14ac:dyDescent="0.2">
      <c r="A5" s="44">
        <v>46120</v>
      </c>
      <c r="B5" s="43">
        <v>34761.379999999997</v>
      </c>
      <c r="C5" s="43">
        <v>307.5</v>
      </c>
      <c r="D5" s="43">
        <v>293.5</v>
      </c>
      <c r="E5" s="43">
        <v>307.5</v>
      </c>
      <c r="F5" s="5">
        <v>54410</v>
      </c>
      <c r="G5" s="85">
        <v>6.4013840830449826</v>
      </c>
      <c r="H5" s="4">
        <v>290</v>
      </c>
      <c r="I5" s="4">
        <v>287.35000000000002</v>
      </c>
      <c r="J5" s="4">
        <v>287.17500000000001</v>
      </c>
      <c r="K5" s="4">
        <v>74.970301289338877</v>
      </c>
      <c r="L5" s="4">
        <v>65.970077523107179</v>
      </c>
      <c r="M5" s="4">
        <v>76.626701907671617</v>
      </c>
      <c r="N5" s="4">
        <v>62.913720723292613</v>
      </c>
      <c r="O5" s="85">
        <v>1.385768615014688</v>
      </c>
    </row>
    <row r="6" spans="1:15" x14ac:dyDescent="0.2">
      <c r="A6" s="44">
        <v>46121</v>
      </c>
      <c r="B6" s="43">
        <v>34861.160000000003</v>
      </c>
      <c r="C6" s="43">
        <v>314</v>
      </c>
      <c r="D6" s="43">
        <v>295</v>
      </c>
      <c r="E6" s="43">
        <v>313</v>
      </c>
      <c r="F6" s="5">
        <v>46807</v>
      </c>
      <c r="G6" s="85">
        <v>1.788617886178862</v>
      </c>
      <c r="H6" s="4">
        <v>296.89999999999998</v>
      </c>
      <c r="I6" s="4">
        <v>290.5</v>
      </c>
      <c r="J6" s="4">
        <v>288.7</v>
      </c>
      <c r="K6" s="4">
        <v>78.269032484491206</v>
      </c>
      <c r="L6" s="4">
        <v>68.723742435677565</v>
      </c>
      <c r="M6" s="4">
        <v>83.491875345855149</v>
      </c>
      <c r="N6" s="4">
        <v>69.773105597480111</v>
      </c>
      <c r="O6" s="85">
        <v>2.521852452210763</v>
      </c>
    </row>
    <row r="7" spans="1:15" x14ac:dyDescent="0.2">
      <c r="A7" s="44">
        <v>46122</v>
      </c>
      <c r="B7" s="43">
        <v>35417.83</v>
      </c>
      <c r="C7" s="43">
        <v>327.5</v>
      </c>
      <c r="D7" s="43">
        <v>312</v>
      </c>
      <c r="E7" s="43">
        <v>321.5</v>
      </c>
      <c r="F7" s="5">
        <v>39034</v>
      </c>
      <c r="G7" s="85">
        <v>2.7156549520766768</v>
      </c>
      <c r="H7" s="4">
        <v>303.10000000000002</v>
      </c>
      <c r="I7" s="4">
        <v>294.14999999999998</v>
      </c>
      <c r="J7" s="4">
        <v>290.32499999999999</v>
      </c>
      <c r="K7" s="4">
        <v>82.537209570294621</v>
      </c>
      <c r="L7" s="4">
        <v>72.478386857586798</v>
      </c>
      <c r="M7" s="4">
        <v>84.954179523499391</v>
      </c>
      <c r="N7" s="4">
        <v>74.833463572819866</v>
      </c>
      <c r="O7" s="85">
        <v>3.6341006252237298</v>
      </c>
    </row>
    <row r="8" spans="1:15" x14ac:dyDescent="0.2">
      <c r="A8" s="44">
        <v>46125</v>
      </c>
      <c r="B8" s="43">
        <v>35457.29</v>
      </c>
      <c r="C8" s="43">
        <v>320.5</v>
      </c>
      <c r="D8" s="43">
        <v>313</v>
      </c>
      <c r="E8" s="43">
        <v>319</v>
      </c>
      <c r="F8" s="5">
        <v>16849</v>
      </c>
      <c r="G8" s="85">
        <v>-0.77760497667185069</v>
      </c>
      <c r="H8" s="4">
        <v>310</v>
      </c>
      <c r="I8" s="4">
        <v>297.35000000000002</v>
      </c>
      <c r="J8" s="4">
        <v>291.85000000000002</v>
      </c>
      <c r="K8" s="4">
        <v>77.18654993416591</v>
      </c>
      <c r="L8" s="4">
        <v>69.790207948835501</v>
      </c>
      <c r="M8" s="4">
        <v>84.245547291760531</v>
      </c>
      <c r="N8" s="4">
        <v>77.970824812466759</v>
      </c>
      <c r="O8" s="85">
        <v>3.9628260261458021</v>
      </c>
    </row>
    <row r="9" spans="1:15" x14ac:dyDescent="0.2">
      <c r="A9" s="44">
        <v>46126</v>
      </c>
      <c r="B9" s="43">
        <v>36296.120000000003</v>
      </c>
      <c r="C9" s="43">
        <v>329.5</v>
      </c>
      <c r="D9" s="43">
        <v>321</v>
      </c>
      <c r="E9" s="43">
        <v>323</v>
      </c>
      <c r="F9" s="5">
        <v>20523</v>
      </c>
      <c r="G9" s="85">
        <v>1.253918495297806</v>
      </c>
      <c r="H9" s="4">
        <v>316.8</v>
      </c>
      <c r="I9" s="4">
        <v>300.75</v>
      </c>
      <c r="J9" s="4">
        <v>293.55</v>
      </c>
      <c r="K9" s="4">
        <v>79.71178913411336</v>
      </c>
      <c r="L9" s="4">
        <v>71.627013747536409</v>
      </c>
      <c r="M9" s="4">
        <v>85.289911786740021</v>
      </c>
      <c r="N9" s="4">
        <v>80.410520470557842</v>
      </c>
      <c r="O9" s="85">
        <v>4.1890049368745021</v>
      </c>
    </row>
    <row r="10" spans="1:15" x14ac:dyDescent="0.2">
      <c r="A10" s="44">
        <v>46127</v>
      </c>
      <c r="B10" s="43">
        <v>36722.14</v>
      </c>
      <c r="C10" s="43">
        <v>325</v>
      </c>
      <c r="D10" s="43">
        <v>307</v>
      </c>
      <c r="E10" s="43">
        <v>308.5</v>
      </c>
      <c r="F10" s="5">
        <v>34222</v>
      </c>
      <c r="G10" s="85">
        <v>-4.4891640866873059</v>
      </c>
      <c r="H10" s="4">
        <v>317</v>
      </c>
      <c r="I10" s="4">
        <v>303.5</v>
      </c>
      <c r="J10" s="4">
        <v>294.52499999999998</v>
      </c>
      <c r="K10" s="4">
        <v>53.804603126113072</v>
      </c>
      <c r="L10" s="4">
        <v>57.743093132271532</v>
      </c>
      <c r="M10" s="4">
        <v>74.80865913987796</v>
      </c>
      <c r="N10" s="4">
        <v>78.543233360331214</v>
      </c>
      <c r="O10" s="85">
        <v>3.1488786517357461</v>
      </c>
    </row>
    <row r="11" spans="1:15" x14ac:dyDescent="0.2">
      <c r="A11" s="44">
        <v>46128</v>
      </c>
      <c r="B11" s="43">
        <v>37132.019999999997</v>
      </c>
      <c r="C11" s="43">
        <v>318.5</v>
      </c>
      <c r="D11" s="43">
        <v>311</v>
      </c>
      <c r="E11" s="43">
        <v>318.5</v>
      </c>
      <c r="F11" s="5">
        <v>19430</v>
      </c>
      <c r="G11" s="85">
        <v>3.2414910858995141</v>
      </c>
      <c r="H11" s="4">
        <v>318.10000000000002</v>
      </c>
      <c r="I11" s="4">
        <v>307.5</v>
      </c>
      <c r="J11" s="4">
        <v>296</v>
      </c>
      <c r="K11" s="4">
        <v>63.596273286041239</v>
      </c>
      <c r="L11" s="4">
        <v>63.12123446215297</v>
      </c>
      <c r="M11" s="4">
        <v>75.147164701310572</v>
      </c>
      <c r="N11" s="4">
        <v>77.411210473990991</v>
      </c>
      <c r="O11" s="85">
        <v>2.925937772962655</v>
      </c>
    </row>
    <row r="12" spans="1:15" x14ac:dyDescent="0.2">
      <c r="A12" s="44">
        <v>46129</v>
      </c>
      <c r="B12" s="43">
        <v>36804.339999999997</v>
      </c>
      <c r="C12" s="43">
        <v>327.5</v>
      </c>
      <c r="D12" s="43">
        <v>317.5</v>
      </c>
      <c r="E12" s="43">
        <v>323</v>
      </c>
      <c r="F12" s="5">
        <v>20083</v>
      </c>
      <c r="G12" s="85">
        <v>1.4128728414442699</v>
      </c>
      <c r="H12" s="4">
        <v>318.39999999999998</v>
      </c>
      <c r="I12" s="4">
        <v>310.75</v>
      </c>
      <c r="J12" s="4">
        <v>297.5</v>
      </c>
      <c r="K12" s="4">
        <v>67.335083226930962</v>
      </c>
      <c r="L12" s="4">
        <v>65.289894678659877</v>
      </c>
      <c r="M12" s="4">
        <v>78.669538372302284</v>
      </c>
      <c r="N12" s="4">
        <v>77.830653106761417</v>
      </c>
      <c r="O12" s="85">
        <v>2.869213849606933</v>
      </c>
    </row>
    <row r="13" spans="1:15" x14ac:dyDescent="0.2">
      <c r="A13" s="44">
        <v>46132</v>
      </c>
      <c r="B13" s="43">
        <v>36958.800000000003</v>
      </c>
      <c r="C13" s="43">
        <v>330.5</v>
      </c>
      <c r="D13" s="43">
        <v>320</v>
      </c>
      <c r="E13" s="43">
        <v>329</v>
      </c>
      <c r="F13" s="5">
        <v>19861</v>
      </c>
      <c r="G13" s="85">
        <v>1.8575851393188849</v>
      </c>
      <c r="H13" s="4">
        <v>320.39999999999998</v>
      </c>
      <c r="I13" s="4">
        <v>315.2</v>
      </c>
      <c r="J13" s="4">
        <v>299.625</v>
      </c>
      <c r="K13" s="4">
        <v>71.94522531698496</v>
      </c>
      <c r="L13" s="4">
        <v>68.024877783715326</v>
      </c>
      <c r="M13" s="4">
        <v>84.428340896850159</v>
      </c>
      <c r="N13" s="4">
        <v>80.029882370124326</v>
      </c>
      <c r="O13" s="85">
        <v>3.0088320325243871</v>
      </c>
    </row>
    <row r="14" spans="1:15" x14ac:dyDescent="0.2">
      <c r="A14" s="44">
        <v>46133</v>
      </c>
      <c r="B14" s="43">
        <v>37605.11</v>
      </c>
      <c r="C14" s="43">
        <v>341</v>
      </c>
      <c r="D14" s="43">
        <v>332</v>
      </c>
      <c r="E14" s="43">
        <v>340</v>
      </c>
      <c r="F14" s="5">
        <v>24631</v>
      </c>
      <c r="G14" s="85">
        <v>3.3434650455927049</v>
      </c>
      <c r="H14" s="4">
        <v>323.8</v>
      </c>
      <c r="I14" s="4">
        <v>320.3</v>
      </c>
      <c r="J14" s="4">
        <v>302.45</v>
      </c>
      <c r="K14" s="4">
        <v>78.592240292834873</v>
      </c>
      <c r="L14" s="4">
        <v>72.377852565015502</v>
      </c>
      <c r="M14" s="4">
        <v>88.894256250074008</v>
      </c>
      <c r="N14" s="4">
        <v>82.984673663440887</v>
      </c>
      <c r="O14" s="85">
        <v>3.57642521028062</v>
      </c>
    </row>
    <row r="15" spans="1:15" x14ac:dyDescent="0.2">
      <c r="A15" s="44">
        <v>46134</v>
      </c>
      <c r="B15" s="43">
        <v>37878.47</v>
      </c>
      <c r="C15" s="43">
        <v>345</v>
      </c>
      <c r="D15" s="43">
        <v>333.5</v>
      </c>
      <c r="E15" s="43">
        <v>335</v>
      </c>
      <c r="F15" s="5">
        <v>18439</v>
      </c>
      <c r="G15" s="85">
        <v>-1.470588235294118</v>
      </c>
      <c r="H15" s="4">
        <v>329.1</v>
      </c>
      <c r="I15" s="4">
        <v>323.05</v>
      </c>
      <c r="J15" s="4">
        <v>305.2</v>
      </c>
      <c r="K15" s="4">
        <v>69.597803560131993</v>
      </c>
      <c r="L15" s="4">
        <v>67.80091120148505</v>
      </c>
      <c r="M15" s="4">
        <v>83.824241008821261</v>
      </c>
      <c r="N15" s="4">
        <v>83.264529445234345</v>
      </c>
      <c r="O15" s="85">
        <v>3.3532766336936799</v>
      </c>
    </row>
    <row r="16" spans="1:15" x14ac:dyDescent="0.2">
      <c r="A16" s="44">
        <v>46135</v>
      </c>
      <c r="B16" s="43">
        <v>37714.15</v>
      </c>
      <c r="C16" s="43">
        <v>339</v>
      </c>
      <c r="D16" s="43">
        <v>317</v>
      </c>
      <c r="E16" s="43">
        <v>322</v>
      </c>
      <c r="F16" s="5">
        <v>27349</v>
      </c>
      <c r="G16" s="85">
        <v>-3.8805970149253728</v>
      </c>
      <c r="H16" s="4">
        <v>329.8</v>
      </c>
      <c r="I16" s="4">
        <v>323.95</v>
      </c>
      <c r="J16" s="4">
        <v>307.22500000000002</v>
      </c>
      <c r="K16" s="4">
        <v>51.285484101445427</v>
      </c>
      <c r="L16" s="4">
        <v>57.489459951602349</v>
      </c>
      <c r="M16" s="4">
        <v>69.040722076056284</v>
      </c>
      <c r="N16" s="4">
        <v>78.523260322174991</v>
      </c>
      <c r="O16" s="85">
        <v>2.128020155530622</v>
      </c>
    </row>
    <row r="17" spans="1:15" x14ac:dyDescent="0.2">
      <c r="A17" s="44">
        <v>46136</v>
      </c>
      <c r="B17" s="43">
        <v>38932.400000000001</v>
      </c>
      <c r="C17" s="43">
        <v>326.5</v>
      </c>
      <c r="D17" s="43">
        <v>318</v>
      </c>
      <c r="E17" s="43">
        <v>323</v>
      </c>
      <c r="F17" s="5">
        <v>18393</v>
      </c>
      <c r="G17" s="85">
        <v>0.3105590062111801</v>
      </c>
      <c r="H17" s="4">
        <v>329.8</v>
      </c>
      <c r="I17" s="4">
        <v>324.10000000000002</v>
      </c>
      <c r="J17" s="4">
        <v>309.125</v>
      </c>
      <c r="K17" s="4">
        <v>52.440590967449538</v>
      </c>
      <c r="L17" s="4">
        <v>58.025156144789683</v>
      </c>
      <c r="M17" s="4">
        <v>60.062235770002431</v>
      </c>
      <c r="N17" s="4">
        <v>72.36958547145079</v>
      </c>
      <c r="O17" s="85">
        <v>1.2274889330000751</v>
      </c>
    </row>
    <row r="18" spans="1:15" x14ac:dyDescent="0.2">
      <c r="A18" s="44">
        <v>46139</v>
      </c>
      <c r="B18" s="43">
        <v>39616.629999999997</v>
      </c>
      <c r="C18" s="43">
        <v>328.5</v>
      </c>
      <c r="D18" s="43">
        <v>319.5</v>
      </c>
      <c r="E18" s="43">
        <v>325.5</v>
      </c>
      <c r="F18" s="5">
        <v>16453</v>
      </c>
      <c r="G18" s="85">
        <v>0.77399380804953566</v>
      </c>
      <c r="H18" s="4">
        <v>329.1</v>
      </c>
      <c r="I18" s="4">
        <v>324.75</v>
      </c>
      <c r="J18" s="4">
        <v>311.05</v>
      </c>
      <c r="K18" s="4">
        <v>55.599063872220633</v>
      </c>
      <c r="L18" s="4">
        <v>59.419804262471978</v>
      </c>
      <c r="M18" s="4">
        <v>56.269560688773552</v>
      </c>
      <c r="N18" s="4">
        <v>67.002910543891716</v>
      </c>
      <c r="O18" s="85">
        <v>0.67062534462152179</v>
      </c>
    </row>
    <row r="19" spans="1:15" x14ac:dyDescent="0.2">
      <c r="A19" s="44">
        <v>46140</v>
      </c>
      <c r="B19" s="43">
        <v>39521.730000000003</v>
      </c>
      <c r="C19" s="43">
        <v>330</v>
      </c>
      <c r="D19" s="43">
        <v>317.5</v>
      </c>
      <c r="E19" s="43">
        <v>321</v>
      </c>
      <c r="F19" s="5">
        <v>15997</v>
      </c>
      <c r="G19" s="85">
        <v>-1.382488479262673</v>
      </c>
      <c r="H19" s="4">
        <v>325.3</v>
      </c>
      <c r="I19" s="4">
        <v>324.55</v>
      </c>
      <c r="J19" s="4">
        <v>312.64999999999998</v>
      </c>
      <c r="K19" s="4">
        <v>48.624042823965112</v>
      </c>
      <c r="L19" s="4">
        <v>55.780494820051899</v>
      </c>
      <c r="M19" s="4">
        <v>47.316962027809822</v>
      </c>
      <c r="N19" s="4">
        <v>60.440927705197737</v>
      </c>
      <c r="O19" s="85">
        <v>-8.9894456680422508E-2</v>
      </c>
    </row>
    <row r="20" spans="1:15" x14ac:dyDescent="0.2">
      <c r="A20" s="44">
        <v>46141</v>
      </c>
      <c r="B20" s="43">
        <v>39303.5</v>
      </c>
      <c r="C20" s="43">
        <v>322</v>
      </c>
      <c r="D20" s="43">
        <v>317</v>
      </c>
      <c r="E20" s="43">
        <v>322</v>
      </c>
      <c r="F20" s="5">
        <v>11774</v>
      </c>
      <c r="G20" s="85">
        <v>0.3115264797507788</v>
      </c>
      <c r="H20" s="4">
        <v>322.7</v>
      </c>
      <c r="I20" s="4">
        <v>325.89999999999998</v>
      </c>
      <c r="J20" s="4">
        <v>314.7</v>
      </c>
      <c r="K20" s="4">
        <v>50.287132212119857</v>
      </c>
      <c r="L20" s="4">
        <v>56.427453812077353</v>
      </c>
      <c r="M20" s="4">
        <v>37.497022304254159</v>
      </c>
      <c r="N20" s="4">
        <v>52.792959238216547</v>
      </c>
      <c r="O20" s="85">
        <v>-0.58699228343497012</v>
      </c>
    </row>
    <row r="21" spans="1:15" x14ac:dyDescent="0.2">
      <c r="A21" s="44">
        <v>46142</v>
      </c>
      <c r="B21" s="43">
        <v>38926.629999999997</v>
      </c>
      <c r="C21" s="43">
        <v>321</v>
      </c>
      <c r="D21" s="43">
        <v>312</v>
      </c>
      <c r="E21" s="43">
        <v>312.5</v>
      </c>
      <c r="F21" s="5">
        <v>18917</v>
      </c>
      <c r="G21" s="85">
        <v>-2.9503105590062111</v>
      </c>
      <c r="H21" s="4">
        <v>320.8</v>
      </c>
      <c r="I21" s="4">
        <v>325.3</v>
      </c>
      <c r="J21" s="4">
        <v>316.39999999999998</v>
      </c>
      <c r="K21" s="4">
        <v>36.731969557485442</v>
      </c>
      <c r="L21" s="4">
        <v>48.998051880512463</v>
      </c>
      <c r="M21" s="4">
        <v>25.50306537455328</v>
      </c>
      <c r="N21" s="4">
        <v>43.696327950328786</v>
      </c>
      <c r="O21" s="85">
        <v>-1.5616712263163921</v>
      </c>
    </row>
  </sheetData>
  <autoFilter ref="A1:O21" xr:uid="{00000000-0009-0000-0000-00000F000000}"/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334</v>
      </c>
      <c r="D2" s="43">
        <v>328</v>
      </c>
      <c r="E2" s="43">
        <v>331</v>
      </c>
      <c r="F2" s="5">
        <v>1943</v>
      </c>
      <c r="G2" s="85">
        <v>3.9246467817896389</v>
      </c>
      <c r="H2" s="4">
        <v>328.5</v>
      </c>
      <c r="I2" s="4">
        <v>332.2</v>
      </c>
      <c r="J2" s="4">
        <v>340.125</v>
      </c>
      <c r="K2" s="4">
        <v>49.074434730492953</v>
      </c>
      <c r="L2" s="4">
        <v>50.132415033337907</v>
      </c>
      <c r="M2" s="4">
        <v>27.928368494331352</v>
      </c>
      <c r="N2" s="4">
        <v>22.301755244234851</v>
      </c>
      <c r="O2" s="85">
        <v>-3.6899713103811091</v>
      </c>
    </row>
    <row r="3" spans="1:15" x14ac:dyDescent="0.2">
      <c r="A3" s="44">
        <v>46114</v>
      </c>
      <c r="B3" s="43">
        <v>32572.43</v>
      </c>
      <c r="C3" s="43">
        <v>334</v>
      </c>
      <c r="D3" s="43">
        <v>317</v>
      </c>
      <c r="E3" s="43">
        <v>323.5</v>
      </c>
      <c r="F3" s="5">
        <v>2038</v>
      </c>
      <c r="G3" s="85">
        <v>-2.2658610271903319</v>
      </c>
      <c r="H3" s="4">
        <v>325.39999999999998</v>
      </c>
      <c r="I3" s="4">
        <v>330.35</v>
      </c>
      <c r="J3" s="4">
        <v>339.17500000000001</v>
      </c>
      <c r="K3" s="4">
        <v>40.538537821426779</v>
      </c>
      <c r="L3" s="4">
        <v>45.723957628882907</v>
      </c>
      <c r="M3" s="4">
        <v>28.719922430564331</v>
      </c>
      <c r="N3" s="4">
        <v>24.441144306344679</v>
      </c>
      <c r="O3" s="85">
        <v>-3.6248999912227182</v>
      </c>
    </row>
    <row r="4" spans="1:15" x14ac:dyDescent="0.2">
      <c r="A4" s="44">
        <v>46119</v>
      </c>
      <c r="B4" s="43">
        <v>33229.82</v>
      </c>
      <c r="C4" s="43">
        <v>325.5</v>
      </c>
      <c r="D4" s="43">
        <v>318.5</v>
      </c>
      <c r="E4" s="43">
        <v>322.5</v>
      </c>
      <c r="F4" s="5">
        <v>1325</v>
      </c>
      <c r="G4" s="85">
        <v>-0.30911901081916537</v>
      </c>
      <c r="H4" s="4">
        <v>323.39999999999998</v>
      </c>
      <c r="I4" s="4">
        <v>328.2</v>
      </c>
      <c r="J4" s="4">
        <v>336.55</v>
      </c>
      <c r="K4" s="4">
        <v>39.440896086476997</v>
      </c>
      <c r="L4" s="4">
        <v>45.146500940237623</v>
      </c>
      <c r="M4" s="4">
        <v>28.237524044618642</v>
      </c>
      <c r="N4" s="4">
        <v>25.706604219102669</v>
      </c>
      <c r="O4" s="85">
        <v>-3.5037260104464618</v>
      </c>
    </row>
    <row r="5" spans="1:15" x14ac:dyDescent="0.2">
      <c r="A5" s="44">
        <v>46120</v>
      </c>
      <c r="B5" s="43">
        <v>34761.379999999997</v>
      </c>
      <c r="C5" s="43">
        <v>351.5</v>
      </c>
      <c r="D5" s="43">
        <v>335</v>
      </c>
      <c r="E5" s="43">
        <v>348.5</v>
      </c>
      <c r="F5" s="5">
        <v>3507</v>
      </c>
      <c r="G5" s="85">
        <v>8.0620155038759691</v>
      </c>
      <c r="H5" s="4">
        <v>328.8</v>
      </c>
      <c r="I5" s="4">
        <v>330.05</v>
      </c>
      <c r="J5" s="4">
        <v>336.625</v>
      </c>
      <c r="K5" s="4">
        <v>67.172844299035788</v>
      </c>
      <c r="L5" s="4">
        <v>59.613384135059917</v>
      </c>
      <c r="M5" s="4">
        <v>49.526770415710672</v>
      </c>
      <c r="N5" s="4">
        <v>33.646659617971999</v>
      </c>
      <c r="O5" s="85">
        <v>-1.622677485174544</v>
      </c>
    </row>
    <row r="6" spans="1:15" x14ac:dyDescent="0.2">
      <c r="A6" s="44">
        <v>46121</v>
      </c>
      <c r="B6" s="43">
        <v>34861.160000000003</v>
      </c>
      <c r="C6" s="43">
        <v>353.5</v>
      </c>
      <c r="D6" s="43">
        <v>345</v>
      </c>
      <c r="E6" s="43">
        <v>348</v>
      </c>
      <c r="F6" s="5">
        <v>2795</v>
      </c>
      <c r="G6" s="85">
        <v>-0.14347202295552369</v>
      </c>
      <c r="H6" s="4">
        <v>334.7</v>
      </c>
      <c r="I6" s="4">
        <v>331.85</v>
      </c>
      <c r="J6" s="4">
        <v>336.75</v>
      </c>
      <c r="K6" s="4">
        <v>66.470407614172274</v>
      </c>
      <c r="L6" s="4">
        <v>59.28536186393243</v>
      </c>
      <c r="M6" s="4">
        <v>61.767846943807108</v>
      </c>
      <c r="N6" s="4">
        <v>43.020388726583697</v>
      </c>
      <c r="O6" s="85">
        <v>-0.42465104277387938</v>
      </c>
    </row>
    <row r="7" spans="1:15" x14ac:dyDescent="0.2">
      <c r="A7" s="44">
        <v>46122</v>
      </c>
      <c r="B7" s="43">
        <v>35417.83</v>
      </c>
      <c r="C7" s="43">
        <v>356</v>
      </c>
      <c r="D7" s="43">
        <v>343.5</v>
      </c>
      <c r="E7" s="43">
        <v>346</v>
      </c>
      <c r="F7" s="5">
        <v>2574</v>
      </c>
      <c r="G7" s="85">
        <v>-0.57471264367816088</v>
      </c>
      <c r="H7" s="4">
        <v>337.7</v>
      </c>
      <c r="I7" s="4">
        <v>333.1</v>
      </c>
      <c r="J7" s="4">
        <v>336.75</v>
      </c>
      <c r="K7" s="4">
        <v>63.29343584499771</v>
      </c>
      <c r="L7" s="4">
        <v>57.895245965774521</v>
      </c>
      <c r="M7" s="4">
        <v>66.66876070763611</v>
      </c>
      <c r="N7" s="4">
        <v>50.903179386934497</v>
      </c>
      <c r="O7" s="85">
        <v>0.18770923456225569</v>
      </c>
    </row>
    <row r="8" spans="1:15" x14ac:dyDescent="0.2">
      <c r="A8" s="44">
        <v>46125</v>
      </c>
      <c r="B8" s="43">
        <v>35457.29</v>
      </c>
      <c r="C8" s="43">
        <v>346.5</v>
      </c>
      <c r="D8" s="43">
        <v>339.5</v>
      </c>
      <c r="E8" s="43">
        <v>342.5</v>
      </c>
      <c r="F8" s="5">
        <v>2053</v>
      </c>
      <c r="G8" s="85">
        <v>-1.011560693641619</v>
      </c>
      <c r="H8" s="4">
        <v>341.5</v>
      </c>
      <c r="I8" s="4">
        <v>333.45</v>
      </c>
      <c r="J8" s="4">
        <v>336.625</v>
      </c>
      <c r="K8" s="4">
        <v>57.520134806303098</v>
      </c>
      <c r="L8" s="4">
        <v>55.414657073044943</v>
      </c>
      <c r="M8" s="4">
        <v>67.190938510973098</v>
      </c>
      <c r="N8" s="4">
        <v>56.332432428280697</v>
      </c>
      <c r="O8" s="85">
        <v>0.30473004521805352</v>
      </c>
    </row>
    <row r="9" spans="1:15" x14ac:dyDescent="0.2">
      <c r="A9" s="44">
        <v>46126</v>
      </c>
      <c r="B9" s="43">
        <v>36296.120000000003</v>
      </c>
      <c r="C9" s="43">
        <v>349.5</v>
      </c>
      <c r="D9" s="43">
        <v>342.5</v>
      </c>
      <c r="E9" s="43">
        <v>344</v>
      </c>
      <c r="F9" s="5">
        <v>2414</v>
      </c>
      <c r="G9" s="85">
        <v>0.43795620437956212</v>
      </c>
      <c r="H9" s="4">
        <v>345.8</v>
      </c>
      <c r="I9" s="4">
        <v>334.6</v>
      </c>
      <c r="J9" s="4">
        <v>336.7</v>
      </c>
      <c r="K9" s="4">
        <v>59.423593996429531</v>
      </c>
      <c r="L9" s="4">
        <v>56.290249495650222</v>
      </c>
      <c r="M9" s="4">
        <v>68.715527634766374</v>
      </c>
      <c r="N9" s="4">
        <v>60.460130830442587</v>
      </c>
      <c r="O9" s="85">
        <v>0.42354102789114639</v>
      </c>
    </row>
    <row r="10" spans="1:15" x14ac:dyDescent="0.2">
      <c r="A10" s="44">
        <v>46127</v>
      </c>
      <c r="B10" s="43">
        <v>36722.14</v>
      </c>
      <c r="C10" s="43">
        <v>351.5</v>
      </c>
      <c r="D10" s="43">
        <v>345.5</v>
      </c>
      <c r="E10" s="43">
        <v>348</v>
      </c>
      <c r="F10" s="5">
        <v>2818</v>
      </c>
      <c r="G10" s="85">
        <v>1.1627906976744189</v>
      </c>
      <c r="H10" s="4">
        <v>345.7</v>
      </c>
      <c r="I10" s="4">
        <v>337.25</v>
      </c>
      <c r="J10" s="4">
        <v>337.1</v>
      </c>
      <c r="K10" s="4">
        <v>64.512104385123138</v>
      </c>
      <c r="L10" s="4">
        <v>58.652451026332649</v>
      </c>
      <c r="M10" s="4">
        <v>72.306078252237398</v>
      </c>
      <c r="N10" s="4">
        <v>64.408779971040858</v>
      </c>
      <c r="O10" s="85">
        <v>0.69582461153373654</v>
      </c>
    </row>
    <row r="11" spans="1:15" x14ac:dyDescent="0.2">
      <c r="A11" s="44">
        <v>46128</v>
      </c>
      <c r="B11" s="43">
        <v>37132.019999999997</v>
      </c>
      <c r="C11" s="43">
        <v>362</v>
      </c>
      <c r="D11" s="43">
        <v>351.5</v>
      </c>
      <c r="E11" s="43">
        <v>355</v>
      </c>
      <c r="F11" s="5">
        <v>3946</v>
      </c>
      <c r="G11" s="85">
        <v>2.0114942528735629</v>
      </c>
      <c r="H11" s="4">
        <v>347.1</v>
      </c>
      <c r="I11" s="4">
        <v>340.9</v>
      </c>
      <c r="J11" s="4">
        <v>337.45</v>
      </c>
      <c r="K11" s="4">
        <v>71.909729299531335</v>
      </c>
      <c r="L11" s="4">
        <v>62.519426811415222</v>
      </c>
      <c r="M11" s="4">
        <v>76.352200316306408</v>
      </c>
      <c r="N11" s="4">
        <v>68.389920086129365</v>
      </c>
      <c r="O11" s="85">
        <v>1.2398953592363331</v>
      </c>
    </row>
    <row r="12" spans="1:15" x14ac:dyDescent="0.2">
      <c r="A12" s="44">
        <v>46129</v>
      </c>
      <c r="B12" s="43">
        <v>36804.339999999997</v>
      </c>
      <c r="C12" s="43">
        <v>372</v>
      </c>
      <c r="D12" s="43">
        <v>359.5</v>
      </c>
      <c r="E12" s="43">
        <v>366</v>
      </c>
      <c r="F12" s="5">
        <v>5334</v>
      </c>
      <c r="G12" s="85">
        <v>3.098591549295775</v>
      </c>
      <c r="H12" s="4">
        <v>351.1</v>
      </c>
      <c r="I12" s="4">
        <v>344.4</v>
      </c>
      <c r="J12" s="4">
        <v>338.3</v>
      </c>
      <c r="K12" s="4">
        <v>79.835944187143099</v>
      </c>
      <c r="L12" s="4">
        <v>67.6982485197492</v>
      </c>
      <c r="M12" s="4">
        <v>80.496482453861589</v>
      </c>
      <c r="N12" s="4">
        <v>72.42544087537344</v>
      </c>
      <c r="O12" s="85">
        <v>2.1782406312924461</v>
      </c>
    </row>
    <row r="13" spans="1:15" x14ac:dyDescent="0.2">
      <c r="A13" s="44">
        <v>46132</v>
      </c>
      <c r="B13" s="43">
        <v>36958.800000000003</v>
      </c>
      <c r="C13" s="43">
        <v>376.5</v>
      </c>
      <c r="D13" s="43">
        <v>363</v>
      </c>
      <c r="E13" s="43">
        <v>363.5</v>
      </c>
      <c r="F13" s="5">
        <v>3362</v>
      </c>
      <c r="G13" s="85">
        <v>-0.68306010928961747</v>
      </c>
      <c r="H13" s="4">
        <v>355.3</v>
      </c>
      <c r="I13" s="4">
        <v>348.4</v>
      </c>
      <c r="J13" s="4">
        <v>339.375</v>
      </c>
      <c r="K13" s="4">
        <v>74.131159221889305</v>
      </c>
      <c r="L13" s="4">
        <v>65.455868525646821</v>
      </c>
      <c r="M13" s="4">
        <v>76.55588790096796</v>
      </c>
      <c r="N13" s="4">
        <v>73.802256550571599</v>
      </c>
      <c r="O13" s="85">
        <v>2.448016814593204</v>
      </c>
    </row>
    <row r="14" spans="1:15" x14ac:dyDescent="0.2">
      <c r="A14" s="44">
        <v>46133</v>
      </c>
      <c r="B14" s="43">
        <v>37605.11</v>
      </c>
      <c r="C14" s="43">
        <v>368</v>
      </c>
      <c r="D14" s="43">
        <v>355.5</v>
      </c>
      <c r="E14" s="43">
        <v>364.5</v>
      </c>
      <c r="F14" s="5">
        <v>2497</v>
      </c>
      <c r="G14" s="85">
        <v>0.27510316368638238</v>
      </c>
      <c r="H14" s="4">
        <v>359.4</v>
      </c>
      <c r="I14" s="4">
        <v>352.6</v>
      </c>
      <c r="J14" s="4">
        <v>340.4</v>
      </c>
      <c r="K14" s="4">
        <v>74.989012260057734</v>
      </c>
      <c r="L14" s="4">
        <v>65.948046708518433</v>
      </c>
      <c r="M14" s="4">
        <v>73.559781123167824</v>
      </c>
      <c r="N14" s="4">
        <v>73.721431408103669</v>
      </c>
      <c r="O14" s="85">
        <v>2.502387029943669</v>
      </c>
    </row>
    <row r="15" spans="1:15" x14ac:dyDescent="0.2">
      <c r="A15" s="44">
        <v>46134</v>
      </c>
      <c r="B15" s="43">
        <v>37878.47</v>
      </c>
      <c r="C15" s="43">
        <v>366</v>
      </c>
      <c r="D15" s="43">
        <v>361</v>
      </c>
      <c r="E15" s="43">
        <v>361</v>
      </c>
      <c r="F15" s="5">
        <v>2504</v>
      </c>
      <c r="G15" s="85">
        <v>-0.96021947873799729</v>
      </c>
      <c r="H15" s="4">
        <v>362</v>
      </c>
      <c r="I15" s="4">
        <v>353.85</v>
      </c>
      <c r="J15" s="4">
        <v>341.95</v>
      </c>
      <c r="K15" s="4">
        <v>65.821472354246765</v>
      </c>
      <c r="L15" s="4">
        <v>62.545524826147727</v>
      </c>
      <c r="M15" s="4">
        <v>68.409223451481239</v>
      </c>
      <c r="N15" s="4">
        <v>71.950695422562859</v>
      </c>
      <c r="O15" s="85">
        <v>2.1260118477571548</v>
      </c>
    </row>
    <row r="16" spans="1:15" x14ac:dyDescent="0.2">
      <c r="A16" s="44">
        <v>46135</v>
      </c>
      <c r="B16" s="43">
        <v>37714.15</v>
      </c>
      <c r="C16" s="43">
        <v>370</v>
      </c>
      <c r="D16" s="43">
        <v>348</v>
      </c>
      <c r="E16" s="43">
        <v>356.5</v>
      </c>
      <c r="F16" s="5">
        <v>2674</v>
      </c>
      <c r="G16" s="85">
        <v>-1.246537396121884</v>
      </c>
      <c r="H16" s="4">
        <v>362.3</v>
      </c>
      <c r="I16" s="4">
        <v>354.7</v>
      </c>
      <c r="J16" s="4">
        <v>343.27499999999998</v>
      </c>
      <c r="K16" s="4">
        <v>55.376518214603323</v>
      </c>
      <c r="L16" s="4">
        <v>58.32481595262702</v>
      </c>
      <c r="M16" s="4">
        <v>60.921464282969467</v>
      </c>
      <c r="N16" s="4">
        <v>68.274285042698395</v>
      </c>
      <c r="O16" s="85">
        <v>1.430720729433665</v>
      </c>
    </row>
    <row r="17" spans="1:15" x14ac:dyDescent="0.2">
      <c r="A17" s="44">
        <v>46136</v>
      </c>
      <c r="B17" s="43">
        <v>38932.400000000001</v>
      </c>
      <c r="C17" s="43">
        <v>358</v>
      </c>
      <c r="D17" s="43">
        <v>349</v>
      </c>
      <c r="E17" s="43">
        <v>354</v>
      </c>
      <c r="F17" s="5">
        <v>1858</v>
      </c>
      <c r="G17" s="85">
        <v>-0.70126227208976155</v>
      </c>
      <c r="H17" s="4">
        <v>359.9</v>
      </c>
      <c r="I17" s="4">
        <v>355.5</v>
      </c>
      <c r="J17" s="4">
        <v>344.3</v>
      </c>
      <c r="K17" s="4">
        <v>50.078659404079147</v>
      </c>
      <c r="L17" s="4">
        <v>56.033155386698347</v>
      </c>
      <c r="M17" s="4">
        <v>51.888819325901217</v>
      </c>
      <c r="N17" s="4">
        <v>62.812463137099328</v>
      </c>
      <c r="O17" s="85">
        <v>0.69636201579226498</v>
      </c>
    </row>
    <row r="18" spans="1:15" x14ac:dyDescent="0.2">
      <c r="A18" s="44">
        <v>46139</v>
      </c>
      <c r="B18" s="43">
        <v>39616.629999999997</v>
      </c>
      <c r="C18" s="43">
        <v>367</v>
      </c>
      <c r="D18" s="43">
        <v>356.5</v>
      </c>
      <c r="E18" s="43">
        <v>363</v>
      </c>
      <c r="F18" s="5">
        <v>3812</v>
      </c>
      <c r="G18" s="85">
        <v>2.542372881355933</v>
      </c>
      <c r="H18" s="4">
        <v>359.8</v>
      </c>
      <c r="I18" s="4">
        <v>357.55</v>
      </c>
      <c r="J18" s="4">
        <v>345.5</v>
      </c>
      <c r="K18" s="4">
        <v>64.677298971773482</v>
      </c>
      <c r="L18" s="4">
        <v>61.910641768617879</v>
      </c>
      <c r="M18" s="4">
        <v>53.409750518342747</v>
      </c>
      <c r="N18" s="4">
        <v>59.678225597513787</v>
      </c>
      <c r="O18" s="85">
        <v>0.70832877151974838</v>
      </c>
    </row>
    <row r="19" spans="1:15" x14ac:dyDescent="0.2">
      <c r="A19" s="44">
        <v>46140</v>
      </c>
      <c r="B19" s="43">
        <v>39521.730000000003</v>
      </c>
      <c r="C19" s="43">
        <v>376</v>
      </c>
      <c r="D19" s="43">
        <v>364.5</v>
      </c>
      <c r="E19" s="43">
        <v>367</v>
      </c>
      <c r="F19" s="5">
        <v>3617</v>
      </c>
      <c r="G19" s="85">
        <v>1.101928374655647</v>
      </c>
      <c r="H19" s="4">
        <v>360.3</v>
      </c>
      <c r="I19" s="4">
        <v>359.85</v>
      </c>
      <c r="J19" s="4">
        <v>347.22500000000002</v>
      </c>
      <c r="K19" s="4">
        <v>69.443083491524533</v>
      </c>
      <c r="L19" s="4">
        <v>64.229114873954273</v>
      </c>
      <c r="M19" s="4">
        <v>57.828722567784041</v>
      </c>
      <c r="N19" s="4">
        <v>59.061724587603877</v>
      </c>
      <c r="O19" s="85">
        <v>0.86674781197239259</v>
      </c>
    </row>
    <row r="20" spans="1:15" x14ac:dyDescent="0.2">
      <c r="A20" s="44">
        <v>46141</v>
      </c>
      <c r="B20" s="43">
        <v>39303.5</v>
      </c>
      <c r="C20" s="43">
        <v>371</v>
      </c>
      <c r="D20" s="43">
        <v>363</v>
      </c>
      <c r="E20" s="43">
        <v>366</v>
      </c>
      <c r="F20" s="5">
        <v>2157</v>
      </c>
      <c r="G20" s="85">
        <v>-0.27247956403269752</v>
      </c>
      <c r="H20" s="4">
        <v>361.3</v>
      </c>
      <c r="I20" s="4">
        <v>361.65</v>
      </c>
      <c r="J20" s="4">
        <v>349.45</v>
      </c>
      <c r="K20" s="4">
        <v>66.741623630345941</v>
      </c>
      <c r="L20" s="4">
        <v>63.180276665557081</v>
      </c>
      <c r="M20" s="4">
        <v>59.605113290803388</v>
      </c>
      <c r="N20" s="4">
        <v>59.242854155337042</v>
      </c>
      <c r="O20" s="85">
        <v>0.7875919066861039</v>
      </c>
    </row>
    <row r="21" spans="1:15" x14ac:dyDescent="0.2">
      <c r="A21" s="44">
        <v>46142</v>
      </c>
      <c r="B21" s="43">
        <v>38926.629999999997</v>
      </c>
      <c r="C21" s="43">
        <v>369.5</v>
      </c>
      <c r="D21" s="43">
        <v>357.5</v>
      </c>
      <c r="E21" s="43">
        <v>359.5</v>
      </c>
      <c r="F21" s="5">
        <v>3072</v>
      </c>
      <c r="G21" s="85">
        <v>-1.775956284153005</v>
      </c>
      <c r="H21" s="4">
        <v>361.9</v>
      </c>
      <c r="I21" s="4">
        <v>362.1</v>
      </c>
      <c r="J21" s="4">
        <v>351.5</v>
      </c>
      <c r="K21" s="4">
        <v>51.204455168260438</v>
      </c>
      <c r="L21" s="4">
        <v>56.623705669465231</v>
      </c>
      <c r="M21" s="4">
        <v>53.187034591529738</v>
      </c>
      <c r="N21" s="4">
        <v>57.224247634067943</v>
      </c>
      <c r="O21" s="85">
        <v>0.21088587909026749</v>
      </c>
    </row>
  </sheetData>
  <autoFilter ref="A1:O21" xr:uid="{00000000-0009-0000-0000-000010000000}"/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127.5</v>
      </c>
      <c r="D2" s="43">
        <v>125</v>
      </c>
      <c r="E2" s="43">
        <v>127</v>
      </c>
      <c r="F2" s="5">
        <v>21099</v>
      </c>
      <c r="G2" s="85">
        <v>3.673469387755103</v>
      </c>
      <c r="H2" s="4">
        <v>125.8</v>
      </c>
      <c r="I2" s="4">
        <v>126.9</v>
      </c>
      <c r="J2" s="4">
        <v>129.17500000000001</v>
      </c>
      <c r="K2" s="4">
        <v>48.940591048647818</v>
      </c>
      <c r="L2" s="4">
        <v>46.016459668480188</v>
      </c>
      <c r="M2" s="4">
        <v>22.100241483258529</v>
      </c>
      <c r="N2" s="4">
        <v>21.73395852389605</v>
      </c>
      <c r="O2" s="85">
        <v>-0.30303342616812651</v>
      </c>
    </row>
    <row r="3" spans="1:15" x14ac:dyDescent="0.2">
      <c r="A3" s="44">
        <v>46114</v>
      </c>
      <c r="B3" s="43">
        <v>32572.43</v>
      </c>
      <c r="C3" s="43">
        <v>128</v>
      </c>
      <c r="D3" s="43">
        <v>124</v>
      </c>
      <c r="E3" s="43">
        <v>125</v>
      </c>
      <c r="F3" s="5">
        <v>15663</v>
      </c>
      <c r="G3" s="85">
        <v>-1.5748031496062991</v>
      </c>
      <c r="H3" s="4">
        <v>125.4</v>
      </c>
      <c r="I3" s="4">
        <v>126.65</v>
      </c>
      <c r="J3" s="4">
        <v>129</v>
      </c>
      <c r="K3" s="4">
        <v>42.053655794173771</v>
      </c>
      <c r="L3" s="4">
        <v>42.744945531449993</v>
      </c>
      <c r="M3" s="4">
        <v>23.505424146733748</v>
      </c>
      <c r="N3" s="4">
        <v>22.324447064841952</v>
      </c>
      <c r="O3" s="85">
        <v>-0.27661140939614959</v>
      </c>
    </row>
    <row r="4" spans="1:15" x14ac:dyDescent="0.2">
      <c r="A4" s="44">
        <v>46119</v>
      </c>
      <c r="B4" s="43">
        <v>33229.82</v>
      </c>
      <c r="C4" s="43">
        <v>125</v>
      </c>
      <c r="D4" s="43">
        <v>123</v>
      </c>
      <c r="E4" s="43">
        <v>123.5</v>
      </c>
      <c r="F4" s="5">
        <v>19598</v>
      </c>
      <c r="G4" s="85">
        <v>-1.2</v>
      </c>
      <c r="H4" s="4">
        <v>124.7</v>
      </c>
      <c r="I4" s="4">
        <v>126</v>
      </c>
      <c r="J4" s="4">
        <v>128.65</v>
      </c>
      <c r="K4" s="4">
        <v>37.326339108806607</v>
      </c>
      <c r="L4" s="4">
        <v>40.395228871815988</v>
      </c>
      <c r="M4" s="4">
        <v>19.179054694313731</v>
      </c>
      <c r="N4" s="4">
        <v>21.27598294133254</v>
      </c>
      <c r="O4" s="85">
        <v>-0.32470759679404998</v>
      </c>
    </row>
    <row r="5" spans="1:15" x14ac:dyDescent="0.2">
      <c r="A5" s="44">
        <v>46120</v>
      </c>
      <c r="B5" s="43">
        <v>34761.379999999997</v>
      </c>
      <c r="C5" s="43">
        <v>131</v>
      </c>
      <c r="D5" s="43">
        <v>126.5</v>
      </c>
      <c r="E5" s="43">
        <v>131</v>
      </c>
      <c r="F5" s="5">
        <v>40544</v>
      </c>
      <c r="G5" s="85">
        <v>6.0728744939271264</v>
      </c>
      <c r="H5" s="4">
        <v>125.8</v>
      </c>
      <c r="I5" s="4">
        <v>126.55</v>
      </c>
      <c r="J5" s="4">
        <v>128.82499999999999</v>
      </c>
      <c r="K5" s="4">
        <v>62.571030355225098</v>
      </c>
      <c r="L5" s="4">
        <v>54.144525584986987</v>
      </c>
      <c r="M5" s="4">
        <v>42.610597866384587</v>
      </c>
      <c r="N5" s="4">
        <v>28.387521249683221</v>
      </c>
      <c r="O5" s="85">
        <v>0.15810997936413779</v>
      </c>
    </row>
    <row r="6" spans="1:15" x14ac:dyDescent="0.2">
      <c r="A6" s="44">
        <v>46121</v>
      </c>
      <c r="B6" s="43">
        <v>34861.160000000003</v>
      </c>
      <c r="C6" s="43">
        <v>132.5</v>
      </c>
      <c r="D6" s="43">
        <v>130</v>
      </c>
      <c r="E6" s="43">
        <v>132.5</v>
      </c>
      <c r="F6" s="5">
        <v>37301</v>
      </c>
      <c r="G6" s="85">
        <v>1.145038167938931</v>
      </c>
      <c r="H6" s="4">
        <v>127.8</v>
      </c>
      <c r="I6" s="4">
        <v>126.9</v>
      </c>
      <c r="J6" s="4">
        <v>129</v>
      </c>
      <c r="K6" s="4">
        <v>65.870375516287226</v>
      </c>
      <c r="L6" s="4">
        <v>56.341797800179393</v>
      </c>
      <c r="M6" s="4">
        <v>61.740398577589723</v>
      </c>
      <c r="N6" s="4">
        <v>39.50514702565205</v>
      </c>
      <c r="O6" s="85">
        <v>0.565117574318728</v>
      </c>
    </row>
    <row r="7" spans="1:15" x14ac:dyDescent="0.2">
      <c r="A7" s="44">
        <v>46122</v>
      </c>
      <c r="B7" s="43">
        <v>35417.83</v>
      </c>
      <c r="C7" s="43">
        <v>136.5</v>
      </c>
      <c r="D7" s="43">
        <v>133</v>
      </c>
      <c r="E7" s="43">
        <v>135</v>
      </c>
      <c r="F7" s="5">
        <v>42081</v>
      </c>
      <c r="G7" s="85">
        <v>1.8867924528301889</v>
      </c>
      <c r="H7" s="4">
        <v>129.4</v>
      </c>
      <c r="I7" s="4">
        <v>127.6</v>
      </c>
      <c r="J7" s="4">
        <v>129.1</v>
      </c>
      <c r="K7" s="4">
        <v>70.985587702166029</v>
      </c>
      <c r="L7" s="4">
        <v>59.840583758074622</v>
      </c>
      <c r="M7" s="4">
        <v>70.922170480297908</v>
      </c>
      <c r="N7" s="4">
        <v>49.977488177200669</v>
      </c>
      <c r="O7" s="85">
        <v>0.96580257761687127</v>
      </c>
    </row>
    <row r="8" spans="1:15" x14ac:dyDescent="0.2">
      <c r="A8" s="44">
        <v>46125</v>
      </c>
      <c r="B8" s="43">
        <v>35457.29</v>
      </c>
      <c r="C8" s="43">
        <v>136.5</v>
      </c>
      <c r="D8" s="43">
        <v>132.5</v>
      </c>
      <c r="E8" s="43">
        <v>134.5</v>
      </c>
      <c r="F8" s="5">
        <v>26991</v>
      </c>
      <c r="G8" s="85">
        <v>-0.37037037037037041</v>
      </c>
      <c r="H8" s="4">
        <v>131.30000000000001</v>
      </c>
      <c r="I8" s="4">
        <v>128.35</v>
      </c>
      <c r="J8" s="4">
        <v>129.19999999999999</v>
      </c>
      <c r="K8" s="4">
        <v>68.520875097186931</v>
      </c>
      <c r="L8" s="4">
        <v>58.812241191509337</v>
      </c>
      <c r="M8" s="4">
        <v>75.852875558293846</v>
      </c>
      <c r="N8" s="4">
        <v>58.602617304231728</v>
      </c>
      <c r="O8" s="85">
        <v>1.147865882091083</v>
      </c>
    </row>
    <row r="9" spans="1:15" x14ac:dyDescent="0.2">
      <c r="A9" s="44">
        <v>46126</v>
      </c>
      <c r="B9" s="43">
        <v>36296.120000000003</v>
      </c>
      <c r="C9" s="43">
        <v>139</v>
      </c>
      <c r="D9" s="43">
        <v>136</v>
      </c>
      <c r="E9" s="43">
        <v>136.5</v>
      </c>
      <c r="F9" s="5">
        <v>38753</v>
      </c>
      <c r="G9" s="85">
        <v>1.486988847583643</v>
      </c>
      <c r="H9" s="4">
        <v>133.9</v>
      </c>
      <c r="I9" s="4">
        <v>129.30000000000001</v>
      </c>
      <c r="J9" s="4">
        <v>129.32499999999999</v>
      </c>
      <c r="K9" s="4">
        <v>73.01779168618819</v>
      </c>
      <c r="L9" s="4">
        <v>61.685370510768223</v>
      </c>
      <c r="M9" s="4">
        <v>78.851411988357512</v>
      </c>
      <c r="N9" s="4">
        <v>65.352215532273647</v>
      </c>
      <c r="O9" s="85">
        <v>1.3402852228921811</v>
      </c>
    </row>
    <row r="10" spans="1:15" x14ac:dyDescent="0.2">
      <c r="A10" s="44">
        <v>46127</v>
      </c>
      <c r="B10" s="43">
        <v>36722.14</v>
      </c>
      <c r="C10" s="43">
        <v>138</v>
      </c>
      <c r="D10" s="43">
        <v>132</v>
      </c>
      <c r="E10" s="43">
        <v>133</v>
      </c>
      <c r="F10" s="5">
        <v>39441</v>
      </c>
      <c r="G10" s="85">
        <v>-2.5641025641025639</v>
      </c>
      <c r="H10" s="4">
        <v>134.30000000000001</v>
      </c>
      <c r="I10" s="4">
        <v>130.05000000000001</v>
      </c>
      <c r="J10" s="4">
        <v>129.22499999999999</v>
      </c>
      <c r="K10" s="4">
        <v>56.167823912593747</v>
      </c>
      <c r="L10" s="4">
        <v>54.436006905192677</v>
      </c>
      <c r="M10" s="4">
        <v>73.400941325571665</v>
      </c>
      <c r="N10" s="4">
        <v>68.035124130039648</v>
      </c>
      <c r="O10" s="85">
        <v>1.1750566546985881</v>
      </c>
    </row>
    <row r="11" spans="1:15" x14ac:dyDescent="0.2">
      <c r="A11" s="44">
        <v>46128</v>
      </c>
      <c r="B11" s="43">
        <v>37132.019999999997</v>
      </c>
      <c r="C11" s="43">
        <v>135.5</v>
      </c>
      <c r="D11" s="43">
        <v>131.5</v>
      </c>
      <c r="E11" s="43">
        <v>134</v>
      </c>
      <c r="F11" s="5">
        <v>35493</v>
      </c>
      <c r="G11" s="85">
        <v>0.75187969924812026</v>
      </c>
      <c r="H11" s="4">
        <v>134.6</v>
      </c>
      <c r="I11" s="4">
        <v>131.19999999999999</v>
      </c>
      <c r="J11" s="4">
        <v>129.22499999999999</v>
      </c>
      <c r="K11" s="4">
        <v>59.381536769497863</v>
      </c>
      <c r="L11" s="4">
        <v>56.046045104966012</v>
      </c>
      <c r="M11" s="4">
        <v>71.850627550381105</v>
      </c>
      <c r="N11" s="4">
        <v>69.306958603486805</v>
      </c>
      <c r="O11" s="85">
        <v>1.0788241558844061</v>
      </c>
    </row>
    <row r="12" spans="1:15" x14ac:dyDescent="0.2">
      <c r="A12" s="44">
        <v>46129</v>
      </c>
      <c r="B12" s="43">
        <v>36804.339999999997</v>
      </c>
      <c r="C12" s="43">
        <v>137</v>
      </c>
      <c r="D12" s="43">
        <v>132.5</v>
      </c>
      <c r="E12" s="43">
        <v>136.5</v>
      </c>
      <c r="F12" s="5">
        <v>36847</v>
      </c>
      <c r="G12" s="85">
        <v>1.8656716417910451</v>
      </c>
      <c r="H12" s="4">
        <v>134.9</v>
      </c>
      <c r="I12" s="4">
        <v>132.15</v>
      </c>
      <c r="J12" s="4">
        <v>129.52500000000001</v>
      </c>
      <c r="K12" s="4">
        <v>66.704969682501286</v>
      </c>
      <c r="L12" s="4">
        <v>59.909569771306451</v>
      </c>
      <c r="M12" s="4">
        <v>76.025418366920732</v>
      </c>
      <c r="N12" s="4">
        <v>71.546445191298105</v>
      </c>
      <c r="O12" s="85">
        <v>1.1241493605372861</v>
      </c>
    </row>
    <row r="13" spans="1:15" x14ac:dyDescent="0.2">
      <c r="A13" s="44">
        <v>46132</v>
      </c>
      <c r="B13" s="43">
        <v>36958.800000000003</v>
      </c>
      <c r="C13" s="43">
        <v>141</v>
      </c>
      <c r="D13" s="43">
        <v>135.5</v>
      </c>
      <c r="E13" s="43">
        <v>140.5</v>
      </c>
      <c r="F13" s="5">
        <v>79145</v>
      </c>
      <c r="G13" s="85">
        <v>2.9304029304029302</v>
      </c>
      <c r="H13" s="4">
        <v>136.1</v>
      </c>
      <c r="I13" s="4">
        <v>133.69999999999999</v>
      </c>
      <c r="J13" s="4">
        <v>130.17500000000001</v>
      </c>
      <c r="K13" s="4">
        <v>75.266889932074363</v>
      </c>
      <c r="L13" s="4">
        <v>65.242254126421713</v>
      </c>
      <c r="M13" s="4">
        <v>82.867520290590818</v>
      </c>
      <c r="N13" s="4">
        <v>75.320136891062333</v>
      </c>
      <c r="O13" s="85">
        <v>1.348988501112431</v>
      </c>
    </row>
    <row r="14" spans="1:15" x14ac:dyDescent="0.2">
      <c r="A14" s="44">
        <v>46133</v>
      </c>
      <c r="B14" s="43">
        <v>37605.11</v>
      </c>
      <c r="C14" s="43">
        <v>145.5</v>
      </c>
      <c r="D14" s="43">
        <v>141.5</v>
      </c>
      <c r="E14" s="43">
        <v>144.5</v>
      </c>
      <c r="F14" s="5">
        <v>86280</v>
      </c>
      <c r="G14" s="85">
        <v>2.8469750889679708</v>
      </c>
      <c r="H14" s="4">
        <v>137.69999999999999</v>
      </c>
      <c r="I14" s="4">
        <v>135.80000000000001</v>
      </c>
      <c r="J14" s="4">
        <v>130.9</v>
      </c>
      <c r="K14" s="4">
        <v>81.099329223252312</v>
      </c>
      <c r="L14" s="4">
        <v>69.646774034656943</v>
      </c>
      <c r="M14" s="4">
        <v>86.427809225985271</v>
      </c>
      <c r="N14" s="4">
        <v>79.022694336036636</v>
      </c>
      <c r="O14" s="85">
        <v>1.6714824420164069</v>
      </c>
    </row>
    <row r="15" spans="1:15" x14ac:dyDescent="0.2">
      <c r="A15" s="44">
        <v>46134</v>
      </c>
      <c r="B15" s="43">
        <v>37878.47</v>
      </c>
      <c r="C15" s="43">
        <v>145.5</v>
      </c>
      <c r="D15" s="43">
        <v>143</v>
      </c>
      <c r="E15" s="43">
        <v>144</v>
      </c>
      <c r="F15" s="5">
        <v>50378</v>
      </c>
      <c r="G15" s="85">
        <v>-0.34602076124567482</v>
      </c>
      <c r="H15" s="4">
        <v>139.9</v>
      </c>
      <c r="I15" s="4">
        <v>137.1</v>
      </c>
      <c r="J15" s="4">
        <v>131.82499999999999</v>
      </c>
      <c r="K15" s="4">
        <v>78.328667565186549</v>
      </c>
      <c r="L15" s="4">
        <v>68.463716091465216</v>
      </c>
      <c r="M15" s="4">
        <v>87.380444245894935</v>
      </c>
      <c r="N15" s="4">
        <v>81.808610972656069</v>
      </c>
      <c r="O15" s="85">
        <v>1.747289720829504</v>
      </c>
    </row>
    <row r="16" spans="1:15" x14ac:dyDescent="0.2">
      <c r="A16" s="44">
        <v>46135</v>
      </c>
      <c r="B16" s="43">
        <v>37714.15</v>
      </c>
      <c r="C16" s="43">
        <v>146</v>
      </c>
      <c r="D16" s="43">
        <v>135</v>
      </c>
      <c r="E16" s="43">
        <v>139.5</v>
      </c>
      <c r="F16" s="5">
        <v>63203</v>
      </c>
      <c r="G16" s="85">
        <v>-3.125</v>
      </c>
      <c r="H16" s="4">
        <v>141</v>
      </c>
      <c r="I16" s="4">
        <v>137.80000000000001</v>
      </c>
      <c r="J16" s="4">
        <v>132.35</v>
      </c>
      <c r="K16" s="4">
        <v>57.217265162110401</v>
      </c>
      <c r="L16" s="4">
        <v>58.677637470387893</v>
      </c>
      <c r="M16" s="4">
        <v>76.644434094964438</v>
      </c>
      <c r="N16" s="4">
        <v>80.087218680092192</v>
      </c>
      <c r="O16" s="85">
        <v>1.405251554153089</v>
      </c>
    </row>
    <row r="17" spans="1:15" x14ac:dyDescent="0.2">
      <c r="A17" s="44">
        <v>46136</v>
      </c>
      <c r="B17" s="43">
        <v>38932.400000000001</v>
      </c>
      <c r="C17" s="43">
        <v>141.5</v>
      </c>
      <c r="D17" s="43">
        <v>138</v>
      </c>
      <c r="E17" s="43">
        <v>141.5</v>
      </c>
      <c r="F17" s="5">
        <v>40785</v>
      </c>
      <c r="G17" s="85">
        <v>1.433691756272401</v>
      </c>
      <c r="H17" s="4">
        <v>142</v>
      </c>
      <c r="I17" s="4">
        <v>138.44999999999999</v>
      </c>
      <c r="J17" s="4">
        <v>133.02500000000001</v>
      </c>
      <c r="K17" s="4">
        <v>62.594191849005867</v>
      </c>
      <c r="L17" s="4">
        <v>61.355809612121398</v>
      </c>
      <c r="M17" s="4">
        <v>74.084795143769398</v>
      </c>
      <c r="N17" s="4">
        <v>78.086410834651261</v>
      </c>
      <c r="O17" s="85">
        <v>1.230858125413504</v>
      </c>
    </row>
    <row r="18" spans="1:15" x14ac:dyDescent="0.2">
      <c r="A18" s="44">
        <v>46139</v>
      </c>
      <c r="B18" s="43">
        <v>39616.629999999997</v>
      </c>
      <c r="C18" s="43">
        <v>144</v>
      </c>
      <c r="D18" s="43">
        <v>141</v>
      </c>
      <c r="E18" s="43">
        <v>142.5</v>
      </c>
      <c r="F18" s="5">
        <v>38390</v>
      </c>
      <c r="G18" s="85">
        <v>0.70671378091872794</v>
      </c>
      <c r="H18" s="4">
        <v>142.4</v>
      </c>
      <c r="I18" s="4">
        <v>139.25</v>
      </c>
      <c r="J18" s="4">
        <v>133.80000000000001</v>
      </c>
      <c r="K18" s="4">
        <v>65.217097348913455</v>
      </c>
      <c r="L18" s="4">
        <v>62.675305883039009</v>
      </c>
      <c r="M18" s="4">
        <v>74.677219751018669</v>
      </c>
      <c r="N18" s="4">
        <v>76.950013806773725</v>
      </c>
      <c r="O18" s="85">
        <v>1.104060123837985</v>
      </c>
    </row>
    <row r="19" spans="1:15" x14ac:dyDescent="0.2">
      <c r="A19" s="44">
        <v>46140</v>
      </c>
      <c r="B19" s="43">
        <v>39521.730000000003</v>
      </c>
      <c r="C19" s="43">
        <v>144.5</v>
      </c>
      <c r="D19" s="43">
        <v>140</v>
      </c>
      <c r="E19" s="43">
        <v>140.5</v>
      </c>
      <c r="F19" s="5">
        <v>27611</v>
      </c>
      <c r="G19" s="85">
        <v>-1.403508771929824</v>
      </c>
      <c r="H19" s="4">
        <v>141.6</v>
      </c>
      <c r="I19" s="4">
        <v>139.65</v>
      </c>
      <c r="J19" s="4">
        <v>134.47499999999999</v>
      </c>
      <c r="K19" s="4">
        <v>55.822760055869132</v>
      </c>
      <c r="L19" s="4">
        <v>58.329868390058238</v>
      </c>
      <c r="M19" s="4">
        <v>70.474468339759568</v>
      </c>
      <c r="N19" s="4">
        <v>74.79149865110233</v>
      </c>
      <c r="O19" s="85">
        <v>0.81977160689497364</v>
      </c>
    </row>
    <row r="20" spans="1:15" x14ac:dyDescent="0.2">
      <c r="A20" s="44">
        <v>46141</v>
      </c>
      <c r="B20" s="43">
        <v>39303.5</v>
      </c>
      <c r="C20" s="43">
        <v>140.5</v>
      </c>
      <c r="D20" s="43">
        <v>136.5</v>
      </c>
      <c r="E20" s="43">
        <v>140.5</v>
      </c>
      <c r="F20" s="5">
        <v>23368</v>
      </c>
      <c r="G20" s="85">
        <v>0</v>
      </c>
      <c r="H20" s="4">
        <v>140.9</v>
      </c>
      <c r="I20" s="4">
        <v>140.4</v>
      </c>
      <c r="J20" s="4">
        <v>135.22499999999999</v>
      </c>
      <c r="K20" s="4">
        <v>55.822760055869111</v>
      </c>
      <c r="L20" s="4">
        <v>58.329868390058238</v>
      </c>
      <c r="M20" s="4">
        <v>66.736065312926115</v>
      </c>
      <c r="N20" s="4">
        <v>72.106354205043587</v>
      </c>
      <c r="O20" s="85">
        <v>0.57744086216103963</v>
      </c>
    </row>
    <row r="21" spans="1:15" x14ac:dyDescent="0.2">
      <c r="A21" s="44">
        <v>46142</v>
      </c>
      <c r="B21" s="43">
        <v>38926.629999999997</v>
      </c>
      <c r="C21" s="43">
        <v>140.5</v>
      </c>
      <c r="D21" s="43">
        <v>136</v>
      </c>
      <c r="E21" s="43">
        <v>137</v>
      </c>
      <c r="F21" s="5">
        <v>26873</v>
      </c>
      <c r="G21" s="85">
        <v>-2.4911032028469751</v>
      </c>
      <c r="H21" s="4">
        <v>140.4</v>
      </c>
      <c r="I21" s="4">
        <v>140.69999999999999</v>
      </c>
      <c r="J21" s="4">
        <v>135.94999999999999</v>
      </c>
      <c r="K21" s="4">
        <v>40.955838597837761</v>
      </c>
      <c r="L21" s="4">
        <v>50.970047375760338</v>
      </c>
      <c r="M21" s="4">
        <v>50.55131626922347</v>
      </c>
      <c r="N21" s="4">
        <v>64.921341559770212</v>
      </c>
      <c r="O21" s="85">
        <v>0.14943388637118371</v>
      </c>
    </row>
  </sheetData>
  <autoFilter ref="A1:O21" xr:uid="{00000000-0009-0000-0000-000011000000}"/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491.5</v>
      </c>
      <c r="D2" s="43">
        <v>480.5</v>
      </c>
      <c r="E2" s="43">
        <v>484.5</v>
      </c>
      <c r="F2" s="5">
        <v>2540</v>
      </c>
      <c r="G2" s="85">
        <v>1.359832635983264</v>
      </c>
      <c r="H2" s="4">
        <v>486.8</v>
      </c>
      <c r="I2" s="4">
        <v>482.9</v>
      </c>
      <c r="J2" s="4">
        <v>477.55</v>
      </c>
      <c r="K2" s="4">
        <v>52.670809155295757</v>
      </c>
      <c r="L2" s="4">
        <v>52.113395466826141</v>
      </c>
      <c r="M2" s="4">
        <v>58.555047137134018</v>
      </c>
      <c r="N2" s="4">
        <v>67.553529562425382</v>
      </c>
      <c r="O2" s="85">
        <v>1.7588625884051461</v>
      </c>
    </row>
    <row r="3" spans="1:15" x14ac:dyDescent="0.2">
      <c r="A3" s="44">
        <v>46114</v>
      </c>
      <c r="B3" s="43">
        <v>32572.43</v>
      </c>
      <c r="C3" s="43">
        <v>493</v>
      </c>
      <c r="D3" s="43">
        <v>484.5</v>
      </c>
      <c r="E3" s="43">
        <v>488</v>
      </c>
      <c r="F3" s="5">
        <v>2417</v>
      </c>
      <c r="G3" s="85">
        <v>0.72239422084623317</v>
      </c>
      <c r="H3" s="4">
        <v>486.6</v>
      </c>
      <c r="I3" s="4">
        <v>484.05</v>
      </c>
      <c r="J3" s="4">
        <v>479.15</v>
      </c>
      <c r="K3" s="4">
        <v>57.057836231659103</v>
      </c>
      <c r="L3" s="4">
        <v>54.072312020675263</v>
      </c>
      <c r="M3" s="4">
        <v>60.875778551192788</v>
      </c>
      <c r="N3" s="4">
        <v>65.327612558681182</v>
      </c>
      <c r="O3" s="85">
        <v>1.705462990980432</v>
      </c>
    </row>
    <row r="4" spans="1:15" x14ac:dyDescent="0.2">
      <c r="A4" s="44">
        <v>46119</v>
      </c>
      <c r="B4" s="43">
        <v>33229.82</v>
      </c>
      <c r="C4" s="43">
        <v>503</v>
      </c>
      <c r="D4" s="43">
        <v>490.5</v>
      </c>
      <c r="E4" s="43">
        <v>499</v>
      </c>
      <c r="F4" s="5">
        <v>2522</v>
      </c>
      <c r="G4" s="85">
        <v>2.2540983606557381</v>
      </c>
      <c r="H4" s="4">
        <v>487.5</v>
      </c>
      <c r="I4" s="4">
        <v>486</v>
      </c>
      <c r="J4" s="4">
        <v>480.95</v>
      </c>
      <c r="K4" s="4">
        <v>68.181100908530937</v>
      </c>
      <c r="L4" s="4">
        <v>59.721526882524579</v>
      </c>
      <c r="M4" s="4">
        <v>69.238823127695781</v>
      </c>
      <c r="N4" s="4">
        <v>66.631349415019372</v>
      </c>
      <c r="O4" s="85">
        <v>2.2871062298432632</v>
      </c>
    </row>
    <row r="5" spans="1:15" x14ac:dyDescent="0.2">
      <c r="A5" s="44">
        <v>46120</v>
      </c>
      <c r="B5" s="43">
        <v>34761.379999999997</v>
      </c>
      <c r="C5" s="43">
        <v>510</v>
      </c>
      <c r="D5" s="43">
        <v>501</v>
      </c>
      <c r="E5" s="43">
        <v>505</v>
      </c>
      <c r="F5" s="5">
        <v>2766</v>
      </c>
      <c r="G5" s="85">
        <v>1.202404809619239</v>
      </c>
      <c r="H5" s="4">
        <v>490.9</v>
      </c>
      <c r="I5" s="4">
        <v>489.55</v>
      </c>
      <c r="J5" s="4">
        <v>482</v>
      </c>
      <c r="K5" s="4">
        <v>72.793808361016318</v>
      </c>
      <c r="L5" s="4">
        <v>62.46851266178939</v>
      </c>
      <c r="M5" s="4">
        <v>74.284215418463845</v>
      </c>
      <c r="N5" s="4">
        <v>69.182304749500858</v>
      </c>
      <c r="O5" s="85">
        <v>2.9119902191457432</v>
      </c>
    </row>
    <row r="6" spans="1:15" x14ac:dyDescent="0.2">
      <c r="A6" s="44">
        <v>46121</v>
      </c>
      <c r="B6" s="43">
        <v>34861.160000000003</v>
      </c>
      <c r="C6" s="43">
        <v>512</v>
      </c>
      <c r="D6" s="43">
        <v>502</v>
      </c>
      <c r="E6" s="43">
        <v>512</v>
      </c>
      <c r="F6" s="5">
        <v>3005</v>
      </c>
      <c r="G6" s="85">
        <v>1.386138613861386</v>
      </c>
      <c r="H6" s="4">
        <v>497.7</v>
      </c>
      <c r="I6" s="4">
        <v>492.7</v>
      </c>
      <c r="J6" s="4">
        <v>484.6</v>
      </c>
      <c r="K6" s="4">
        <v>77.383857455599724</v>
      </c>
      <c r="L6" s="4">
        <v>65.466052649256369</v>
      </c>
      <c r="M6" s="4">
        <v>82.856143612309225</v>
      </c>
      <c r="N6" s="4">
        <v>73.740251037103647</v>
      </c>
      <c r="O6" s="85">
        <v>3.588399870893392</v>
      </c>
    </row>
    <row r="7" spans="1:15" x14ac:dyDescent="0.2">
      <c r="A7" s="44">
        <v>46122</v>
      </c>
      <c r="B7" s="43">
        <v>35417.83</v>
      </c>
      <c r="C7" s="43">
        <v>516</v>
      </c>
      <c r="D7" s="43">
        <v>506</v>
      </c>
      <c r="E7" s="43">
        <v>508</v>
      </c>
      <c r="F7" s="5">
        <v>2424</v>
      </c>
      <c r="G7" s="85">
        <v>-0.78125</v>
      </c>
      <c r="H7" s="4">
        <v>502.4</v>
      </c>
      <c r="I7" s="4">
        <v>494.6</v>
      </c>
      <c r="J7" s="4">
        <v>486.3</v>
      </c>
      <c r="K7" s="4">
        <v>69.359691072189051</v>
      </c>
      <c r="L7" s="4">
        <v>62.36124636608907</v>
      </c>
      <c r="M7" s="4">
        <v>81.553218548557027</v>
      </c>
      <c r="N7" s="4">
        <v>76.344573540921431</v>
      </c>
      <c r="O7" s="85">
        <v>3.551473306826388</v>
      </c>
    </row>
    <row r="8" spans="1:15" x14ac:dyDescent="0.2">
      <c r="A8" s="44">
        <v>46125</v>
      </c>
      <c r="B8" s="43">
        <v>35457.29</v>
      </c>
      <c r="C8" s="43">
        <v>525</v>
      </c>
      <c r="D8" s="43">
        <v>500</v>
      </c>
      <c r="E8" s="43">
        <v>525</v>
      </c>
      <c r="F8" s="5">
        <v>3844</v>
      </c>
      <c r="G8" s="85">
        <v>3.3464566929133861</v>
      </c>
      <c r="H8" s="4">
        <v>509.8</v>
      </c>
      <c r="I8" s="4">
        <v>498.2</v>
      </c>
      <c r="J8" s="4">
        <v>488.9</v>
      </c>
      <c r="K8" s="4">
        <v>79.958386453600497</v>
      </c>
      <c r="L8" s="4">
        <v>69.14565727000037</v>
      </c>
      <c r="M8" s="4">
        <v>87.702145699038013</v>
      </c>
      <c r="N8" s="4">
        <v>80.130430926960287</v>
      </c>
      <c r="O8" s="85">
        <v>4.4014535879278407</v>
      </c>
    </row>
    <row r="9" spans="1:15" x14ac:dyDescent="0.2">
      <c r="A9" s="44">
        <v>46126</v>
      </c>
      <c r="B9" s="43">
        <v>36296.120000000003</v>
      </c>
      <c r="C9" s="43">
        <v>527</v>
      </c>
      <c r="D9" s="43">
        <v>514</v>
      </c>
      <c r="E9" s="43">
        <v>524</v>
      </c>
      <c r="F9" s="5">
        <v>2925</v>
      </c>
      <c r="G9" s="85">
        <v>-0.19047619047619049</v>
      </c>
      <c r="H9" s="4">
        <v>514.79999999999995</v>
      </c>
      <c r="I9" s="4">
        <v>501.15</v>
      </c>
      <c r="J9" s="4">
        <v>491.6</v>
      </c>
      <c r="K9" s="4">
        <v>78.052579721572386</v>
      </c>
      <c r="L9" s="4">
        <v>68.355002576779839</v>
      </c>
      <c r="M9" s="4">
        <v>89.76061413949472</v>
      </c>
      <c r="N9" s="4">
        <v>83.340491997805088</v>
      </c>
      <c r="O9" s="85">
        <v>4.6040227747116154</v>
      </c>
    </row>
    <row r="10" spans="1:15" x14ac:dyDescent="0.2">
      <c r="A10" s="44">
        <v>46127</v>
      </c>
      <c r="B10" s="43">
        <v>36722.14</v>
      </c>
      <c r="C10" s="43">
        <v>530</v>
      </c>
      <c r="D10" s="43">
        <v>522</v>
      </c>
      <c r="E10" s="43">
        <v>525</v>
      </c>
      <c r="F10" s="5">
        <v>3760</v>
      </c>
      <c r="G10" s="85">
        <v>0.19083969465648851</v>
      </c>
      <c r="H10" s="4">
        <v>518.79999999999995</v>
      </c>
      <c r="I10" s="4">
        <v>504.85</v>
      </c>
      <c r="J10" s="4">
        <v>493.85</v>
      </c>
      <c r="K10" s="4">
        <v>78.662864033267851</v>
      </c>
      <c r="L10" s="4">
        <v>68.744883181791181</v>
      </c>
      <c r="M10" s="4">
        <v>89.806739392659779</v>
      </c>
      <c r="N10" s="4">
        <v>85.49590779608998</v>
      </c>
      <c r="O10" s="85">
        <v>4.5073300469468496</v>
      </c>
    </row>
    <row r="11" spans="1:15" x14ac:dyDescent="0.2">
      <c r="A11" s="44">
        <v>46128</v>
      </c>
      <c r="B11" s="43">
        <v>37132.019999999997</v>
      </c>
      <c r="C11" s="43">
        <v>540</v>
      </c>
      <c r="D11" s="43">
        <v>530</v>
      </c>
      <c r="E11" s="43">
        <v>540</v>
      </c>
      <c r="F11" s="5">
        <v>5860</v>
      </c>
      <c r="G11" s="85">
        <v>2.8571428571428572</v>
      </c>
      <c r="H11" s="4">
        <v>524.4</v>
      </c>
      <c r="I11" s="4">
        <v>511.05</v>
      </c>
      <c r="J11" s="4">
        <v>496.85</v>
      </c>
      <c r="K11" s="4">
        <v>85.780169989358555</v>
      </c>
      <c r="L11" s="4">
        <v>73.988910345400996</v>
      </c>
      <c r="M11" s="4">
        <v>93.204492928439848</v>
      </c>
      <c r="N11" s="4">
        <v>88.065436173539922</v>
      </c>
      <c r="O11" s="85">
        <v>5.1113087179076624</v>
      </c>
    </row>
    <row r="12" spans="1:15" x14ac:dyDescent="0.2">
      <c r="A12" s="44">
        <v>46129</v>
      </c>
      <c r="B12" s="43">
        <v>36804.339999999997</v>
      </c>
      <c r="C12" s="43">
        <v>538</v>
      </c>
      <c r="D12" s="43">
        <v>528</v>
      </c>
      <c r="E12" s="43">
        <v>531</v>
      </c>
      <c r="F12" s="5">
        <v>3344</v>
      </c>
      <c r="G12" s="85">
        <v>-1.666666666666667</v>
      </c>
      <c r="H12" s="4">
        <v>529</v>
      </c>
      <c r="I12" s="4">
        <v>515.70000000000005</v>
      </c>
      <c r="J12" s="4">
        <v>499.3</v>
      </c>
      <c r="K12" s="4">
        <v>69.168281938334488</v>
      </c>
      <c r="L12" s="4">
        <v>66.667453845452286</v>
      </c>
      <c r="M12" s="4">
        <v>89.40905589168716</v>
      </c>
      <c r="N12" s="4">
        <v>88.513309412922325</v>
      </c>
      <c r="O12" s="85">
        <v>4.5795194492662183</v>
      </c>
    </row>
    <row r="13" spans="1:15" x14ac:dyDescent="0.2">
      <c r="A13" s="44">
        <v>46132</v>
      </c>
      <c r="B13" s="43">
        <v>36958.800000000003</v>
      </c>
      <c r="C13" s="43">
        <v>544</v>
      </c>
      <c r="D13" s="43">
        <v>534</v>
      </c>
      <c r="E13" s="43">
        <v>538</v>
      </c>
      <c r="F13" s="5">
        <v>4706</v>
      </c>
      <c r="G13" s="85">
        <v>1.318267419962335</v>
      </c>
      <c r="H13" s="4">
        <v>531.6</v>
      </c>
      <c r="I13" s="4">
        <v>520.70000000000005</v>
      </c>
      <c r="J13" s="4">
        <v>502.375</v>
      </c>
      <c r="K13" s="4">
        <v>73.88793511785137</v>
      </c>
      <c r="L13" s="4">
        <v>69.249297765617868</v>
      </c>
      <c r="M13" s="4">
        <v>88.39391604900355</v>
      </c>
      <c r="N13" s="4">
        <v>88.473511624949396</v>
      </c>
      <c r="O13" s="85">
        <v>4.3743750816819471</v>
      </c>
    </row>
    <row r="14" spans="1:15" x14ac:dyDescent="0.2">
      <c r="A14" s="44">
        <v>46133</v>
      </c>
      <c r="B14" s="43">
        <v>37605.11</v>
      </c>
      <c r="C14" s="43">
        <v>560</v>
      </c>
      <c r="D14" s="43">
        <v>538</v>
      </c>
      <c r="E14" s="43">
        <v>551</v>
      </c>
      <c r="F14" s="5">
        <v>4524</v>
      </c>
      <c r="G14" s="85">
        <v>2.4163568773234201</v>
      </c>
      <c r="H14" s="4">
        <v>537</v>
      </c>
      <c r="I14" s="4">
        <v>525.9</v>
      </c>
      <c r="J14" s="4">
        <v>505.95</v>
      </c>
      <c r="K14" s="4">
        <v>80.530020027613972</v>
      </c>
      <c r="L14" s="4">
        <v>73.420341679562299</v>
      </c>
      <c r="M14" s="4">
        <v>87.262610699335696</v>
      </c>
      <c r="N14" s="4">
        <v>88.069877983078158</v>
      </c>
      <c r="O14" s="85">
        <v>4.7576553139005782</v>
      </c>
    </row>
    <row r="15" spans="1:15" x14ac:dyDescent="0.2">
      <c r="A15" s="44">
        <v>46134</v>
      </c>
      <c r="B15" s="43">
        <v>37878.47</v>
      </c>
      <c r="C15" s="43">
        <v>567</v>
      </c>
      <c r="D15" s="43">
        <v>549</v>
      </c>
      <c r="E15" s="43">
        <v>567</v>
      </c>
      <c r="F15" s="5">
        <v>4284</v>
      </c>
      <c r="G15" s="85">
        <v>2.903811252268603</v>
      </c>
      <c r="H15" s="4">
        <v>545.4</v>
      </c>
      <c r="I15" s="4">
        <v>532.1</v>
      </c>
      <c r="J15" s="4">
        <v>510.82499999999999</v>
      </c>
      <c r="K15" s="4">
        <v>85.847040631223408</v>
      </c>
      <c r="L15" s="4">
        <v>77.515240394908446</v>
      </c>
      <c r="M15" s="4">
        <v>91.508407132890454</v>
      </c>
      <c r="N15" s="4">
        <v>89.216054366348914</v>
      </c>
      <c r="O15" s="85">
        <v>5.6702658351012083</v>
      </c>
    </row>
    <row r="16" spans="1:15" x14ac:dyDescent="0.2">
      <c r="A16" s="44">
        <v>46135</v>
      </c>
      <c r="B16" s="43">
        <v>37714.15</v>
      </c>
      <c r="C16" s="43">
        <v>575</v>
      </c>
      <c r="D16" s="43">
        <v>535</v>
      </c>
      <c r="E16" s="43">
        <v>542</v>
      </c>
      <c r="F16" s="5">
        <v>6629</v>
      </c>
      <c r="G16" s="85">
        <v>-4.409171075837742</v>
      </c>
      <c r="H16" s="4">
        <v>545.79999999999995</v>
      </c>
      <c r="I16" s="4">
        <v>535.1</v>
      </c>
      <c r="J16" s="4">
        <v>513.9</v>
      </c>
      <c r="K16" s="4">
        <v>56.775631463506073</v>
      </c>
      <c r="L16" s="4">
        <v>61.393122877826961</v>
      </c>
      <c r="M16" s="4">
        <v>79.672271421926965</v>
      </c>
      <c r="N16" s="4">
        <v>86.034793384874916</v>
      </c>
      <c r="O16" s="85">
        <v>4.2373618757260516</v>
      </c>
    </row>
    <row r="17" spans="1:15" x14ac:dyDescent="0.2">
      <c r="A17" s="44">
        <v>46136</v>
      </c>
      <c r="B17" s="43">
        <v>38932.400000000001</v>
      </c>
      <c r="C17" s="43">
        <v>544</v>
      </c>
      <c r="D17" s="43">
        <v>530</v>
      </c>
      <c r="E17" s="43">
        <v>539</v>
      </c>
      <c r="F17" s="5">
        <v>3724</v>
      </c>
      <c r="G17" s="85">
        <v>-0.55350553505535049</v>
      </c>
      <c r="H17" s="4">
        <v>547.4</v>
      </c>
      <c r="I17" s="4">
        <v>538.20000000000005</v>
      </c>
      <c r="J17" s="4">
        <v>516.4</v>
      </c>
      <c r="K17" s="4">
        <v>54.135732735999291</v>
      </c>
      <c r="L17" s="4">
        <v>59.765859098312433</v>
      </c>
      <c r="M17" s="4">
        <v>66.77604980041032</v>
      </c>
      <c r="N17" s="4">
        <v>79.61521219005337</v>
      </c>
      <c r="O17" s="85">
        <v>2.803780872548042</v>
      </c>
    </row>
    <row r="18" spans="1:15" x14ac:dyDescent="0.2">
      <c r="A18" s="44">
        <v>46139</v>
      </c>
      <c r="B18" s="43">
        <v>39616.629999999997</v>
      </c>
      <c r="C18" s="43">
        <v>558</v>
      </c>
      <c r="D18" s="43">
        <v>537</v>
      </c>
      <c r="E18" s="43">
        <v>555</v>
      </c>
      <c r="F18" s="5">
        <v>3030</v>
      </c>
      <c r="G18" s="85">
        <v>2.968460111317254</v>
      </c>
      <c r="H18" s="4">
        <v>550.79999999999995</v>
      </c>
      <c r="I18" s="4">
        <v>541.20000000000005</v>
      </c>
      <c r="J18" s="4">
        <v>519.70000000000005</v>
      </c>
      <c r="K18" s="4">
        <v>64.654024987967603</v>
      </c>
      <c r="L18" s="4">
        <v>65.141542540046061</v>
      </c>
      <c r="M18" s="4">
        <v>65.272083514738952</v>
      </c>
      <c r="N18" s="4">
        <v>74.834169298281893</v>
      </c>
      <c r="O18" s="85">
        <v>2.6510714252784129</v>
      </c>
    </row>
    <row r="19" spans="1:15" x14ac:dyDescent="0.2">
      <c r="A19" s="44">
        <v>46140</v>
      </c>
      <c r="B19" s="43">
        <v>39521.730000000003</v>
      </c>
      <c r="C19" s="43">
        <v>564</v>
      </c>
      <c r="D19" s="43">
        <v>554</v>
      </c>
      <c r="E19" s="43">
        <v>561</v>
      </c>
      <c r="F19" s="5">
        <v>2444</v>
      </c>
      <c r="G19" s="85">
        <v>1.0810810810810809</v>
      </c>
      <c r="H19" s="4">
        <v>552.79999999999995</v>
      </c>
      <c r="I19" s="4">
        <v>544.9</v>
      </c>
      <c r="J19" s="4">
        <v>523.02499999999998</v>
      </c>
      <c r="K19" s="4">
        <v>67.960526037246126</v>
      </c>
      <c r="L19" s="4">
        <v>66.948113541399692</v>
      </c>
      <c r="M19" s="4">
        <v>66.918977662308237</v>
      </c>
      <c r="N19" s="4">
        <v>72.195772086290674</v>
      </c>
      <c r="O19" s="85">
        <v>2.664973770001275</v>
      </c>
    </row>
    <row r="20" spans="1:15" x14ac:dyDescent="0.2">
      <c r="A20" s="44">
        <v>46141</v>
      </c>
      <c r="B20" s="43">
        <v>39303.5</v>
      </c>
      <c r="C20" s="43">
        <v>561</v>
      </c>
      <c r="D20" s="43">
        <v>541</v>
      </c>
      <c r="E20" s="43">
        <v>551</v>
      </c>
      <c r="F20" s="5">
        <v>2689</v>
      </c>
      <c r="G20" s="85">
        <v>-1.7825311942958999</v>
      </c>
      <c r="H20" s="4">
        <v>549.6</v>
      </c>
      <c r="I20" s="4">
        <v>547.5</v>
      </c>
      <c r="J20" s="4">
        <v>526.17499999999995</v>
      </c>
      <c r="K20" s="4">
        <v>57.24951418109854</v>
      </c>
      <c r="L20" s="4">
        <v>61.182914067611463</v>
      </c>
      <c r="M20" s="4">
        <v>60.924708512460811</v>
      </c>
      <c r="N20" s="4">
        <v>68.438750895014053</v>
      </c>
      <c r="O20" s="85">
        <v>1.75541973888217</v>
      </c>
    </row>
    <row r="21" spans="1:15" x14ac:dyDescent="0.2">
      <c r="A21" s="44">
        <v>46142</v>
      </c>
      <c r="B21" s="43">
        <v>38926.629999999997</v>
      </c>
      <c r="C21" s="43">
        <v>556</v>
      </c>
      <c r="D21" s="43">
        <v>535</v>
      </c>
      <c r="E21" s="43">
        <v>537</v>
      </c>
      <c r="F21" s="5">
        <v>2851</v>
      </c>
      <c r="G21" s="85">
        <v>-2.5408348457350272</v>
      </c>
      <c r="H21" s="4">
        <v>548.6</v>
      </c>
      <c r="I21" s="4">
        <v>547.20000000000005</v>
      </c>
      <c r="J21" s="4">
        <v>529.125</v>
      </c>
      <c r="K21" s="4">
        <v>45.26445144854187</v>
      </c>
      <c r="L21" s="4">
        <v>54.071427036445137</v>
      </c>
      <c r="M21" s="4">
        <v>45.801657526825721</v>
      </c>
      <c r="N21" s="4">
        <v>60.893053105617938</v>
      </c>
      <c r="O21" s="85">
        <v>5.5469855045760852E-2</v>
      </c>
    </row>
  </sheetData>
  <autoFilter ref="A1:O21" xr:uid="{00000000-0009-0000-0000-000012000000}"/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77.599999999999994</v>
      </c>
      <c r="D2" s="43">
        <v>75.900000000000006</v>
      </c>
      <c r="E2" s="43">
        <v>76.599999999999994</v>
      </c>
      <c r="F2" s="5">
        <v>3194</v>
      </c>
      <c r="G2" s="85">
        <v>2.1333333333333262</v>
      </c>
      <c r="H2" s="4">
        <v>76.259999999999991</v>
      </c>
      <c r="I2" s="4">
        <v>76.930000000000007</v>
      </c>
      <c r="J2" s="4">
        <v>77.650000000000006</v>
      </c>
      <c r="K2" s="4">
        <v>47.268399656937369</v>
      </c>
      <c r="L2" s="4">
        <v>44.528455166330772</v>
      </c>
      <c r="M2" s="4">
        <v>21.856216372596212</v>
      </c>
      <c r="N2" s="4">
        <v>24.92631853872804</v>
      </c>
      <c r="O2" s="85">
        <v>-0.10094552395554809</v>
      </c>
    </row>
    <row r="3" spans="1:15" x14ac:dyDescent="0.2">
      <c r="A3" s="44">
        <v>46114</v>
      </c>
      <c r="B3" s="43">
        <v>32572.43</v>
      </c>
      <c r="C3" s="43">
        <v>81.900000000000006</v>
      </c>
      <c r="D3" s="43">
        <v>77.5</v>
      </c>
      <c r="E3" s="43">
        <v>79.8</v>
      </c>
      <c r="F3" s="5">
        <v>8389</v>
      </c>
      <c r="G3" s="85">
        <v>4.1775456919060092</v>
      </c>
      <c r="H3" s="4">
        <v>77.180000000000007</v>
      </c>
      <c r="I3" s="4">
        <v>76.960000000000008</v>
      </c>
      <c r="J3" s="4">
        <v>77.709999999999994</v>
      </c>
      <c r="K3" s="4">
        <v>63.848480836902738</v>
      </c>
      <c r="L3" s="4">
        <v>54.826636802831793</v>
      </c>
      <c r="M3" s="4">
        <v>37.904144248397429</v>
      </c>
      <c r="N3" s="4">
        <v>29.252260441951169</v>
      </c>
      <c r="O3" s="85">
        <v>0.1682536463088784</v>
      </c>
    </row>
    <row r="4" spans="1:15" x14ac:dyDescent="0.2">
      <c r="A4" s="44">
        <v>46119</v>
      </c>
      <c r="B4" s="43">
        <v>33229.82</v>
      </c>
      <c r="C4" s="43">
        <v>80.5</v>
      </c>
      <c r="D4" s="43">
        <v>78.400000000000006</v>
      </c>
      <c r="E4" s="43">
        <v>78.900000000000006</v>
      </c>
      <c r="F4" s="5">
        <v>4801</v>
      </c>
      <c r="G4" s="85">
        <v>-1.1278195488721701</v>
      </c>
      <c r="H4" s="4">
        <v>77.359999999999985</v>
      </c>
      <c r="I4" s="4">
        <v>76.939999999999984</v>
      </c>
      <c r="J4" s="4">
        <v>77.674999999999997</v>
      </c>
      <c r="K4" s="4">
        <v>57.723023121940152</v>
      </c>
      <c r="L4" s="4">
        <v>51.871998269447218</v>
      </c>
      <c r="M4" s="4">
        <v>44.317048546550673</v>
      </c>
      <c r="N4" s="4">
        <v>34.27385647681767</v>
      </c>
      <c r="O4" s="85">
        <v>0.28110369757786913</v>
      </c>
    </row>
    <row r="5" spans="1:15" x14ac:dyDescent="0.2">
      <c r="A5" s="44">
        <v>46120</v>
      </c>
      <c r="B5" s="43">
        <v>34761.379999999997</v>
      </c>
      <c r="C5" s="43">
        <v>83.6</v>
      </c>
      <c r="D5" s="43">
        <v>81.2</v>
      </c>
      <c r="E5" s="43">
        <v>81.599999999999994</v>
      </c>
      <c r="F5" s="5">
        <v>8739</v>
      </c>
      <c r="G5" s="85">
        <v>3.4220532319391488</v>
      </c>
      <c r="H5" s="4">
        <v>78.38</v>
      </c>
      <c r="I5" s="4">
        <v>77.419999999999987</v>
      </c>
      <c r="J5" s="4">
        <v>77.960000000000008</v>
      </c>
      <c r="K5" s="4">
        <v>68.576056966431523</v>
      </c>
      <c r="L5" s="4">
        <v>59.087670191206577</v>
      </c>
      <c r="M5" s="4">
        <v>55.215197115324948</v>
      </c>
      <c r="N5" s="4">
        <v>41.254303356320086</v>
      </c>
      <c r="O5" s="85">
        <v>0.51914426143827663</v>
      </c>
    </row>
    <row r="6" spans="1:15" x14ac:dyDescent="0.2">
      <c r="A6" s="44">
        <v>46121</v>
      </c>
      <c r="B6" s="43">
        <v>34861.160000000003</v>
      </c>
      <c r="C6" s="43">
        <v>87</v>
      </c>
      <c r="D6" s="43">
        <v>78.599999999999994</v>
      </c>
      <c r="E6" s="43">
        <v>86.4</v>
      </c>
      <c r="F6" s="5">
        <v>21999</v>
      </c>
      <c r="G6" s="85">
        <v>5.8823529411764852</v>
      </c>
      <c r="H6" s="4">
        <v>80.66</v>
      </c>
      <c r="I6" s="4">
        <v>78.449999999999989</v>
      </c>
      <c r="J6" s="4">
        <v>78.429999999999993</v>
      </c>
      <c r="K6" s="4">
        <v>79.695751751400465</v>
      </c>
      <c r="L6" s="4">
        <v>68.303859154192821</v>
      </c>
      <c r="M6" s="4">
        <v>68.490572181566506</v>
      </c>
      <c r="N6" s="4">
        <v>50.333059631402229</v>
      </c>
      <c r="O6" s="85">
        <v>0.95600719277995727</v>
      </c>
    </row>
    <row r="7" spans="1:15" x14ac:dyDescent="0.2">
      <c r="A7" s="44">
        <v>46122</v>
      </c>
      <c r="B7" s="43">
        <v>35417.83</v>
      </c>
      <c r="C7" s="43">
        <v>87.5</v>
      </c>
      <c r="D7" s="43">
        <v>83.6</v>
      </c>
      <c r="E7" s="43">
        <v>84.1</v>
      </c>
      <c r="F7" s="5">
        <v>12108</v>
      </c>
      <c r="G7" s="85">
        <v>-2.6620370370370501</v>
      </c>
      <c r="H7" s="4">
        <v>82.16</v>
      </c>
      <c r="I7" s="4">
        <v>79.210000000000008</v>
      </c>
      <c r="J7" s="4">
        <v>78.77</v>
      </c>
      <c r="K7" s="4">
        <v>66.221644647336461</v>
      </c>
      <c r="L7" s="4">
        <v>61.108181819839523</v>
      </c>
      <c r="M7" s="4">
        <v>69.999005793001984</v>
      </c>
      <c r="N7" s="4">
        <v>56.88837501860214</v>
      </c>
      <c r="O7" s="85">
        <v>1.0393027086087561</v>
      </c>
    </row>
    <row r="8" spans="1:15" x14ac:dyDescent="0.2">
      <c r="A8" s="44">
        <v>46125</v>
      </c>
      <c r="B8" s="43">
        <v>35457.29</v>
      </c>
      <c r="C8" s="43">
        <v>85.2</v>
      </c>
      <c r="D8" s="43">
        <v>82.8</v>
      </c>
      <c r="E8" s="43">
        <v>84.3</v>
      </c>
      <c r="F8" s="5">
        <v>7894</v>
      </c>
      <c r="G8" s="85">
        <v>0.23781212841855279</v>
      </c>
      <c r="H8" s="4">
        <v>83.06</v>
      </c>
      <c r="I8" s="4">
        <v>80.12</v>
      </c>
      <c r="J8" s="4">
        <v>79.044999999999987</v>
      </c>
      <c r="K8" s="4">
        <v>66.807232015051994</v>
      </c>
      <c r="L8" s="4">
        <v>61.493001107852741</v>
      </c>
      <c r="M8" s="4">
        <v>71.466003862001315</v>
      </c>
      <c r="N8" s="4">
        <v>61.747584633068527</v>
      </c>
      <c r="O8" s="85">
        <v>1.05379790799602</v>
      </c>
    </row>
    <row r="9" spans="1:15" x14ac:dyDescent="0.2">
      <c r="A9" s="44">
        <v>46126</v>
      </c>
      <c r="B9" s="43">
        <v>36296.120000000003</v>
      </c>
      <c r="C9" s="43">
        <v>85.1</v>
      </c>
      <c r="D9" s="43">
        <v>81.5</v>
      </c>
      <c r="E9" s="43">
        <v>81.7</v>
      </c>
      <c r="F9" s="5">
        <v>8163</v>
      </c>
      <c r="G9" s="85">
        <v>-3.084223013048629</v>
      </c>
      <c r="H9" s="4">
        <v>83.61999999999999</v>
      </c>
      <c r="I9" s="4">
        <v>80.489999999999995</v>
      </c>
      <c r="J9" s="4">
        <v>79.23</v>
      </c>
      <c r="K9" s="4">
        <v>52.585723872222367</v>
      </c>
      <c r="L9" s="4">
        <v>53.925925007350173</v>
      </c>
      <c r="M9" s="4">
        <v>65.510669241334213</v>
      </c>
      <c r="N9" s="4">
        <v>63.00194616915708</v>
      </c>
      <c r="O9" s="85">
        <v>0.84331926233411947</v>
      </c>
    </row>
    <row r="10" spans="1:15" x14ac:dyDescent="0.2">
      <c r="A10" s="44">
        <v>46127</v>
      </c>
      <c r="B10" s="43">
        <v>36722.14</v>
      </c>
      <c r="C10" s="43">
        <v>83.3</v>
      </c>
      <c r="D10" s="43">
        <v>81.7</v>
      </c>
      <c r="E10" s="43">
        <v>82.5</v>
      </c>
      <c r="F10" s="5">
        <v>3461</v>
      </c>
      <c r="G10" s="85">
        <v>0.97919216646266471</v>
      </c>
      <c r="H10" s="4">
        <v>83.8</v>
      </c>
      <c r="I10" s="4">
        <v>81.09</v>
      </c>
      <c r="J10" s="4">
        <v>79.414999999999992</v>
      </c>
      <c r="K10" s="4">
        <v>56.040890137690482</v>
      </c>
      <c r="L10" s="4">
        <v>55.753545781558891</v>
      </c>
      <c r="M10" s="4">
        <v>62.639296735602109</v>
      </c>
      <c r="N10" s="4">
        <v>62.881063024638749</v>
      </c>
      <c r="O10" s="85">
        <v>0.71792296926337218</v>
      </c>
    </row>
    <row r="11" spans="1:15" x14ac:dyDescent="0.2">
      <c r="A11" s="44">
        <v>46128</v>
      </c>
      <c r="B11" s="43">
        <v>37132.019999999997</v>
      </c>
      <c r="C11" s="43">
        <v>83.9</v>
      </c>
      <c r="D11" s="43">
        <v>82.7</v>
      </c>
      <c r="E11" s="43">
        <v>83.5</v>
      </c>
      <c r="F11" s="5">
        <v>2751</v>
      </c>
      <c r="G11" s="85">
        <v>1.2121212121212119</v>
      </c>
      <c r="H11" s="4">
        <v>83.22</v>
      </c>
      <c r="I11" s="4">
        <v>81.94</v>
      </c>
      <c r="J11" s="4">
        <v>79.58</v>
      </c>
      <c r="K11" s="4">
        <v>60.372485848779753</v>
      </c>
      <c r="L11" s="4">
        <v>58.024081027154168</v>
      </c>
      <c r="M11" s="4">
        <v>61.759531157068068</v>
      </c>
      <c r="N11" s="4">
        <v>62.507219068781851</v>
      </c>
      <c r="O11" s="85">
        <v>0.66355536846368945</v>
      </c>
    </row>
    <row r="12" spans="1:15" x14ac:dyDescent="0.2">
      <c r="A12" s="44">
        <v>46129</v>
      </c>
      <c r="B12" s="43">
        <v>36804.339999999997</v>
      </c>
      <c r="C12" s="43">
        <v>85.4</v>
      </c>
      <c r="D12" s="43">
        <v>82.1</v>
      </c>
      <c r="E12" s="43">
        <v>82.2</v>
      </c>
      <c r="F12" s="5">
        <v>5254</v>
      </c>
      <c r="G12" s="85">
        <v>-1.5568862275449069</v>
      </c>
      <c r="H12" s="4">
        <v>82.84</v>
      </c>
      <c r="I12" s="4">
        <v>82.5</v>
      </c>
      <c r="J12" s="4">
        <v>79.715000000000003</v>
      </c>
      <c r="K12" s="4">
        <v>52.328650721183493</v>
      </c>
      <c r="L12" s="4">
        <v>54.087843022207657</v>
      </c>
      <c r="M12" s="4">
        <v>55.092434690792629</v>
      </c>
      <c r="N12" s="4">
        <v>60.035624276118767</v>
      </c>
      <c r="O12" s="85">
        <v>0.50826421170838709</v>
      </c>
    </row>
    <row r="13" spans="1:15" x14ac:dyDescent="0.2">
      <c r="A13" s="44">
        <v>46132</v>
      </c>
      <c r="B13" s="43">
        <v>36958.800000000003</v>
      </c>
      <c r="C13" s="43">
        <v>83.8</v>
      </c>
      <c r="D13" s="43">
        <v>82.6</v>
      </c>
      <c r="E13" s="43">
        <v>83.3</v>
      </c>
      <c r="F13" s="5">
        <v>2458</v>
      </c>
      <c r="G13" s="85">
        <v>1.3381995133819879</v>
      </c>
      <c r="H13" s="4">
        <v>82.64</v>
      </c>
      <c r="I13" s="4">
        <v>82.85</v>
      </c>
      <c r="J13" s="4">
        <v>79.905000000000001</v>
      </c>
      <c r="K13" s="4">
        <v>58.00941312525957</v>
      </c>
      <c r="L13" s="4">
        <v>56.793425683898548</v>
      </c>
      <c r="M13" s="4">
        <v>54.33128604854339</v>
      </c>
      <c r="N13" s="4">
        <v>58.134178200260308</v>
      </c>
      <c r="O13" s="85">
        <v>0.44986070055052257</v>
      </c>
    </row>
    <row r="14" spans="1:15" x14ac:dyDescent="0.2">
      <c r="A14" s="44">
        <v>46133</v>
      </c>
      <c r="B14" s="43">
        <v>37605.11</v>
      </c>
      <c r="C14" s="43">
        <v>84.4</v>
      </c>
      <c r="D14" s="43">
        <v>82.8</v>
      </c>
      <c r="E14" s="43">
        <v>83.6</v>
      </c>
      <c r="F14" s="5">
        <v>3285</v>
      </c>
      <c r="G14" s="85">
        <v>0.36014405762304591</v>
      </c>
      <c r="H14" s="4">
        <v>83.02000000000001</v>
      </c>
      <c r="I14" s="4">
        <v>83.32</v>
      </c>
      <c r="J14" s="4">
        <v>80.13</v>
      </c>
      <c r="K14" s="4">
        <v>59.585556077379053</v>
      </c>
      <c r="L14" s="4">
        <v>57.537903352996118</v>
      </c>
      <c r="M14" s="4">
        <v>54.947449125995213</v>
      </c>
      <c r="N14" s="4">
        <v>57.071935175505267</v>
      </c>
      <c r="O14" s="85">
        <v>0.40316664260147311</v>
      </c>
    </row>
    <row r="15" spans="1:15" x14ac:dyDescent="0.2">
      <c r="A15" s="44">
        <v>46134</v>
      </c>
      <c r="B15" s="43">
        <v>37878.47</v>
      </c>
      <c r="C15" s="43">
        <v>84.9</v>
      </c>
      <c r="D15" s="43">
        <v>83.2</v>
      </c>
      <c r="E15" s="43">
        <v>84.3</v>
      </c>
      <c r="F15" s="5">
        <v>3438</v>
      </c>
      <c r="G15" s="85">
        <v>0.83732057416268291</v>
      </c>
      <c r="H15" s="4">
        <v>83.38000000000001</v>
      </c>
      <c r="I15" s="4">
        <v>83.59</v>
      </c>
      <c r="J15" s="4">
        <v>80.504999999999995</v>
      </c>
      <c r="K15" s="4">
        <v>63.42914397519894</v>
      </c>
      <c r="L15" s="4">
        <v>59.322033067626947</v>
      </c>
      <c r="M15" s="4">
        <v>52.187188306219007</v>
      </c>
      <c r="N15" s="4">
        <v>55.443686219076511</v>
      </c>
      <c r="O15" s="85">
        <v>0.39086778994621618</v>
      </c>
    </row>
    <row r="16" spans="1:15" x14ac:dyDescent="0.2">
      <c r="A16" s="44">
        <v>46135</v>
      </c>
      <c r="B16" s="43">
        <v>37714.15</v>
      </c>
      <c r="C16" s="43">
        <v>84.9</v>
      </c>
      <c r="D16" s="43">
        <v>79.5</v>
      </c>
      <c r="E16" s="43">
        <v>81.400000000000006</v>
      </c>
      <c r="F16" s="5">
        <v>5789</v>
      </c>
      <c r="G16" s="85">
        <v>-3.440094899169623</v>
      </c>
      <c r="H16" s="4">
        <v>82.96</v>
      </c>
      <c r="I16" s="4">
        <v>83.089999999999989</v>
      </c>
      <c r="J16" s="4">
        <v>80.77</v>
      </c>
      <c r="K16" s="4">
        <v>43.066919456645877</v>
      </c>
      <c r="L16" s="4">
        <v>49.854847261663267</v>
      </c>
      <c r="M16" s="4">
        <v>45.525922147648849</v>
      </c>
      <c r="N16" s="4">
        <v>52.13776486193396</v>
      </c>
      <c r="O16" s="85">
        <v>0.17013745530103039</v>
      </c>
    </row>
    <row r="17" spans="1:15" x14ac:dyDescent="0.2">
      <c r="A17" s="44">
        <v>46136</v>
      </c>
      <c r="B17" s="43">
        <v>38932.400000000001</v>
      </c>
      <c r="C17" s="43">
        <v>82.3</v>
      </c>
      <c r="D17" s="43">
        <v>78.7</v>
      </c>
      <c r="E17" s="43">
        <v>78.8</v>
      </c>
      <c r="F17" s="5">
        <v>3903</v>
      </c>
      <c r="G17" s="85">
        <v>-3.1941031941032052</v>
      </c>
      <c r="H17" s="4">
        <v>82.28</v>
      </c>
      <c r="I17" s="4">
        <v>82.559999999999988</v>
      </c>
      <c r="J17" s="4">
        <v>80.884999999999991</v>
      </c>
      <c r="K17" s="4">
        <v>32.011050279104438</v>
      </c>
      <c r="L17" s="4">
        <v>43.123757523576849</v>
      </c>
      <c r="M17" s="4">
        <v>30.848127202910149</v>
      </c>
      <c r="N17" s="4">
        <v>45.041218975592678</v>
      </c>
      <c r="O17" s="85">
        <v>-0.1509051239155389</v>
      </c>
    </row>
    <row r="18" spans="1:15" x14ac:dyDescent="0.2">
      <c r="A18" s="44">
        <v>46139</v>
      </c>
      <c r="B18" s="43">
        <v>39616.629999999997</v>
      </c>
      <c r="C18" s="43">
        <v>79.5</v>
      </c>
      <c r="D18" s="43">
        <v>76.400000000000006</v>
      </c>
      <c r="E18" s="43">
        <v>77.400000000000006</v>
      </c>
      <c r="F18" s="5">
        <v>4323</v>
      </c>
      <c r="G18" s="85">
        <v>-1.776649746192883</v>
      </c>
      <c r="H18" s="4">
        <v>81.099999999999994</v>
      </c>
      <c r="I18" s="4">
        <v>81.869999999999976</v>
      </c>
      <c r="J18" s="4">
        <v>80.995000000000005</v>
      </c>
      <c r="K18" s="4">
        <v>27.456637704287768</v>
      </c>
      <c r="L18" s="4">
        <v>39.954977243278378</v>
      </c>
      <c r="M18" s="4">
        <v>24.269121838977131</v>
      </c>
      <c r="N18" s="4">
        <v>38.117186596720828</v>
      </c>
      <c r="O18" s="85">
        <v>-0.44106675227450581</v>
      </c>
    </row>
    <row r="19" spans="1:15" x14ac:dyDescent="0.2">
      <c r="A19" s="44">
        <v>46140</v>
      </c>
      <c r="B19" s="43">
        <v>39521.730000000003</v>
      </c>
      <c r="C19" s="43">
        <v>78.2</v>
      </c>
      <c r="D19" s="43">
        <v>76.8</v>
      </c>
      <c r="E19" s="43">
        <v>77</v>
      </c>
      <c r="F19" s="5">
        <v>3232</v>
      </c>
      <c r="G19" s="85">
        <v>-0.51679586563308222</v>
      </c>
      <c r="H19" s="4">
        <v>79.78</v>
      </c>
      <c r="I19" s="4">
        <v>81.400000000000006</v>
      </c>
      <c r="J19" s="4">
        <v>80.944999999999993</v>
      </c>
      <c r="K19" s="4">
        <v>26.179586164114681</v>
      </c>
      <c r="L19" s="4">
        <v>39.060370019075641</v>
      </c>
      <c r="M19" s="4">
        <v>18.40163678154029</v>
      </c>
      <c r="N19" s="4">
        <v>31.545336658327319</v>
      </c>
      <c r="O19" s="85">
        <v>-0.63183910270672416</v>
      </c>
    </row>
    <row r="20" spans="1:15" x14ac:dyDescent="0.2">
      <c r="A20" s="44">
        <v>46141</v>
      </c>
      <c r="B20" s="43">
        <v>39303.5</v>
      </c>
      <c r="C20" s="43">
        <v>78.5</v>
      </c>
      <c r="D20" s="43">
        <v>76.599999999999994</v>
      </c>
      <c r="E20" s="43">
        <v>77.2</v>
      </c>
      <c r="F20" s="5">
        <v>2483</v>
      </c>
      <c r="G20" s="85">
        <v>0.25974025974026338</v>
      </c>
      <c r="H20" s="4">
        <v>78.36</v>
      </c>
      <c r="I20" s="4">
        <v>80.87</v>
      </c>
      <c r="J20" s="4">
        <v>80.98</v>
      </c>
      <c r="K20" s="4">
        <v>28.183758194108041</v>
      </c>
      <c r="L20" s="4">
        <v>39.795641985730171</v>
      </c>
      <c r="M20" s="4">
        <v>15.230720817323141</v>
      </c>
      <c r="N20" s="4">
        <v>26.107131377992591</v>
      </c>
      <c r="O20" s="85">
        <v>-0.71058488996514191</v>
      </c>
    </row>
    <row r="21" spans="1:15" x14ac:dyDescent="0.2">
      <c r="A21" s="44">
        <v>46142</v>
      </c>
      <c r="B21" s="43">
        <v>38926.629999999997</v>
      </c>
      <c r="C21" s="43">
        <v>78.2</v>
      </c>
      <c r="D21" s="43">
        <v>76.5</v>
      </c>
      <c r="E21" s="43">
        <v>76.5</v>
      </c>
      <c r="F21" s="5">
        <v>1915</v>
      </c>
      <c r="G21" s="85">
        <v>-0.90673575129534034</v>
      </c>
      <c r="H21" s="4">
        <v>77.38</v>
      </c>
      <c r="I21" s="4">
        <v>80.17</v>
      </c>
      <c r="J21" s="4">
        <v>81.055000000000007</v>
      </c>
      <c r="K21" s="4">
        <v>25.29898955860169</v>
      </c>
      <c r="L21" s="4">
        <v>38.043052672885523</v>
      </c>
      <c r="M21" s="4">
        <v>10.545970740960501</v>
      </c>
      <c r="N21" s="4">
        <v>20.920077832315229</v>
      </c>
      <c r="O21" s="85">
        <v>-0.77080294418718265</v>
      </c>
    </row>
  </sheetData>
  <autoFilter ref="A1:O21" xr:uid="{00000000-0009-0000-0000-000013000000}"/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184.5</v>
      </c>
      <c r="D2" s="43">
        <v>176</v>
      </c>
      <c r="E2" s="43">
        <v>178</v>
      </c>
      <c r="F2" s="5">
        <v>24963</v>
      </c>
      <c r="G2" s="85">
        <v>4.7058823529411766</v>
      </c>
      <c r="H2" s="4">
        <v>177.5</v>
      </c>
      <c r="I2" s="4">
        <v>174.7</v>
      </c>
      <c r="J2" s="4">
        <v>170.47499999999999</v>
      </c>
      <c r="K2" s="4">
        <v>53.845097192366069</v>
      </c>
      <c r="L2" s="4">
        <v>53.814143418112288</v>
      </c>
      <c r="M2" s="4">
        <v>51.016567105926931</v>
      </c>
      <c r="N2" s="4">
        <v>54.814822664041387</v>
      </c>
      <c r="O2" s="85">
        <v>-0.17596901659281089</v>
      </c>
    </row>
    <row r="3" spans="1:15" x14ac:dyDescent="0.2">
      <c r="A3" s="44">
        <v>46114</v>
      </c>
      <c r="B3" s="43">
        <v>32572.43</v>
      </c>
      <c r="C3" s="43">
        <v>185</v>
      </c>
      <c r="D3" s="43">
        <v>176</v>
      </c>
      <c r="E3" s="43">
        <v>179.5</v>
      </c>
      <c r="F3" s="5">
        <v>26648</v>
      </c>
      <c r="G3" s="85">
        <v>0.84269662921348309</v>
      </c>
      <c r="H3" s="4">
        <v>179</v>
      </c>
      <c r="I3" s="4">
        <v>175.35</v>
      </c>
      <c r="J3" s="4">
        <v>171.22499999999999</v>
      </c>
      <c r="K3" s="4">
        <v>55.516260604227938</v>
      </c>
      <c r="L3" s="4">
        <v>54.701962526829917</v>
      </c>
      <c r="M3" s="4">
        <v>53.88283960907949</v>
      </c>
      <c r="N3" s="4">
        <v>54.50416164572075</v>
      </c>
      <c r="O3" s="85">
        <v>-4.4619736291254597E-2</v>
      </c>
    </row>
    <row r="4" spans="1:15" x14ac:dyDescent="0.2">
      <c r="A4" s="44">
        <v>46119</v>
      </c>
      <c r="B4" s="43">
        <v>33229.82</v>
      </c>
      <c r="C4" s="43">
        <v>197</v>
      </c>
      <c r="D4" s="43">
        <v>181.5</v>
      </c>
      <c r="E4" s="43">
        <v>197</v>
      </c>
      <c r="F4" s="5">
        <v>37637</v>
      </c>
      <c r="G4" s="85">
        <v>9.7493036211699167</v>
      </c>
      <c r="H4" s="4">
        <v>180.7</v>
      </c>
      <c r="I4" s="4">
        <v>177.7</v>
      </c>
      <c r="J4" s="4">
        <v>172.77500000000001</v>
      </c>
      <c r="K4" s="4">
        <v>70.480121887254185</v>
      </c>
      <c r="L4" s="4">
        <v>63.605895364499837</v>
      </c>
      <c r="M4" s="4">
        <v>69.255226406052984</v>
      </c>
      <c r="N4" s="4">
        <v>59.421183232498151</v>
      </c>
      <c r="O4" s="85">
        <v>1.123187904692257</v>
      </c>
    </row>
    <row r="5" spans="1:15" x14ac:dyDescent="0.2">
      <c r="A5" s="44">
        <v>46120</v>
      </c>
      <c r="B5" s="43">
        <v>34761.379999999997</v>
      </c>
      <c r="C5" s="43">
        <v>216.5</v>
      </c>
      <c r="D5" s="43">
        <v>201.5</v>
      </c>
      <c r="E5" s="43">
        <v>216.5</v>
      </c>
      <c r="F5" s="5">
        <v>67261</v>
      </c>
      <c r="G5" s="85">
        <v>9.8984771573604071</v>
      </c>
      <c r="H5" s="4">
        <v>188.2</v>
      </c>
      <c r="I5" s="4">
        <v>182.75</v>
      </c>
      <c r="J5" s="4">
        <v>176</v>
      </c>
      <c r="K5" s="4">
        <v>79.638665722299379</v>
      </c>
      <c r="L5" s="4">
        <v>70.624788294981215</v>
      </c>
      <c r="M5" s="4">
        <v>79.503484270701989</v>
      </c>
      <c r="N5" s="4">
        <v>66.115283578566093</v>
      </c>
      <c r="O5" s="85">
        <v>3.0044845155679911</v>
      </c>
    </row>
    <row r="6" spans="1:15" x14ac:dyDescent="0.2">
      <c r="A6" s="44">
        <v>46121</v>
      </c>
      <c r="B6" s="43">
        <v>34861.160000000003</v>
      </c>
      <c r="C6" s="43">
        <v>229</v>
      </c>
      <c r="D6" s="43">
        <v>213.5</v>
      </c>
      <c r="E6" s="43">
        <v>226</v>
      </c>
      <c r="F6" s="5">
        <v>57691</v>
      </c>
      <c r="G6" s="85">
        <v>4.3879907621247112</v>
      </c>
      <c r="H6" s="4">
        <v>199.4</v>
      </c>
      <c r="I6" s="4">
        <v>188.65</v>
      </c>
      <c r="J6" s="4">
        <v>179.47499999999999</v>
      </c>
      <c r="K6" s="4">
        <v>82.764743989341881</v>
      </c>
      <c r="L6" s="4">
        <v>73.355767240134981</v>
      </c>
      <c r="M6" s="4">
        <v>84.69631191817291</v>
      </c>
      <c r="N6" s="4">
        <v>72.308959691768365</v>
      </c>
      <c r="O6" s="85">
        <v>4.5893370470241353</v>
      </c>
    </row>
    <row r="7" spans="1:15" x14ac:dyDescent="0.2">
      <c r="A7" s="44">
        <v>46122</v>
      </c>
      <c r="B7" s="43">
        <v>35417.83</v>
      </c>
      <c r="C7" s="43">
        <v>233</v>
      </c>
      <c r="D7" s="43">
        <v>220.5</v>
      </c>
      <c r="E7" s="43">
        <v>225.5</v>
      </c>
      <c r="F7" s="5">
        <v>31774</v>
      </c>
      <c r="G7" s="85">
        <v>-0.22123893805309741</v>
      </c>
      <c r="H7" s="4">
        <v>208.9</v>
      </c>
      <c r="I7" s="4">
        <v>193.2</v>
      </c>
      <c r="J7" s="4">
        <v>182.57499999999999</v>
      </c>
      <c r="K7" s="4">
        <v>81.969911293980147</v>
      </c>
      <c r="L7" s="4">
        <v>72.966278860316805</v>
      </c>
      <c r="M7" s="4">
        <v>85.951387432628081</v>
      </c>
      <c r="N7" s="4">
        <v>76.85643560538827</v>
      </c>
      <c r="O7" s="85">
        <v>5.2566669183984152</v>
      </c>
    </row>
    <row r="8" spans="1:15" x14ac:dyDescent="0.2">
      <c r="A8" s="44">
        <v>46125</v>
      </c>
      <c r="B8" s="43">
        <v>35457.29</v>
      </c>
      <c r="C8" s="43">
        <v>248</v>
      </c>
      <c r="D8" s="43">
        <v>226</v>
      </c>
      <c r="E8" s="43">
        <v>248</v>
      </c>
      <c r="F8" s="5">
        <v>30392</v>
      </c>
      <c r="G8" s="85">
        <v>9.9778270509977833</v>
      </c>
      <c r="H8" s="4">
        <v>222.6</v>
      </c>
      <c r="I8" s="4">
        <v>200.8</v>
      </c>
      <c r="J8" s="4">
        <v>186.6</v>
      </c>
      <c r="K8" s="4">
        <v>88.127085558622781</v>
      </c>
      <c r="L8" s="4">
        <v>78.55576490204686</v>
      </c>
      <c r="M8" s="4">
        <v>90.634258288418721</v>
      </c>
      <c r="N8" s="4">
        <v>81.449043166398411</v>
      </c>
      <c r="O8" s="85">
        <v>6.7697540878182672</v>
      </c>
    </row>
    <row r="9" spans="1:15" x14ac:dyDescent="0.2">
      <c r="A9" s="44">
        <v>46126</v>
      </c>
      <c r="B9" s="43">
        <v>36296.120000000003</v>
      </c>
      <c r="C9" s="43">
        <v>251</v>
      </c>
      <c r="D9" s="43">
        <v>224</v>
      </c>
      <c r="E9" s="43">
        <v>224</v>
      </c>
      <c r="F9" s="5">
        <v>60205</v>
      </c>
      <c r="G9" s="85">
        <v>-9.67741935483871</v>
      </c>
      <c r="H9" s="4">
        <v>228</v>
      </c>
      <c r="I9" s="4">
        <v>204.35</v>
      </c>
      <c r="J9" s="4">
        <v>189.42500000000001</v>
      </c>
      <c r="K9" s="4">
        <v>61.322315031476762</v>
      </c>
      <c r="L9" s="4">
        <v>63.321131795721051</v>
      </c>
      <c r="M9" s="4">
        <v>82.912798698303234</v>
      </c>
      <c r="N9" s="4">
        <v>81.936961677033352</v>
      </c>
      <c r="O9" s="85">
        <v>5.7506760104644714</v>
      </c>
    </row>
    <row r="10" spans="1:15" x14ac:dyDescent="0.2">
      <c r="A10" s="44">
        <v>46127</v>
      </c>
      <c r="B10" s="43">
        <v>36722.14</v>
      </c>
      <c r="C10" s="43">
        <v>245</v>
      </c>
      <c r="D10" s="43">
        <v>230</v>
      </c>
      <c r="E10" s="43">
        <v>243</v>
      </c>
      <c r="F10" s="5">
        <v>51673</v>
      </c>
      <c r="G10" s="85">
        <v>8.4821428571428577</v>
      </c>
      <c r="H10" s="4">
        <v>233.3</v>
      </c>
      <c r="I10" s="4">
        <v>210.75</v>
      </c>
      <c r="J10" s="4">
        <v>192.82499999999999</v>
      </c>
      <c r="K10" s="4">
        <v>69.992929710260171</v>
      </c>
      <c r="L10" s="4">
        <v>68.583099669929624</v>
      </c>
      <c r="M10" s="4">
        <v>85.052976909979932</v>
      </c>
      <c r="N10" s="4">
        <v>82.975633421348874</v>
      </c>
      <c r="O10" s="85">
        <v>5.9289601596768513</v>
      </c>
    </row>
    <row r="11" spans="1:15" x14ac:dyDescent="0.2">
      <c r="A11" s="44">
        <v>46128</v>
      </c>
      <c r="B11" s="43">
        <v>37132.019999999997</v>
      </c>
      <c r="C11" s="43">
        <v>267</v>
      </c>
      <c r="D11" s="43">
        <v>244</v>
      </c>
      <c r="E11" s="43">
        <v>267</v>
      </c>
      <c r="F11" s="5">
        <v>53385</v>
      </c>
      <c r="G11" s="85">
        <v>9.8765432098765427</v>
      </c>
      <c r="H11" s="4">
        <v>241.5</v>
      </c>
      <c r="I11" s="4">
        <v>220.45</v>
      </c>
      <c r="J11" s="4">
        <v>197.35</v>
      </c>
      <c r="K11" s="4">
        <v>77.603385619125675</v>
      </c>
      <c r="L11" s="4">
        <v>73.768692430496586</v>
      </c>
      <c r="M11" s="4">
        <v>90.035317939986612</v>
      </c>
      <c r="N11" s="4">
        <v>85.328861594228115</v>
      </c>
      <c r="O11" s="85">
        <v>7.1539568256166408</v>
      </c>
    </row>
    <row r="12" spans="1:15" x14ac:dyDescent="0.2">
      <c r="A12" s="44">
        <v>46129</v>
      </c>
      <c r="B12" s="43">
        <v>36804.339999999997</v>
      </c>
      <c r="C12" s="43">
        <v>274.5</v>
      </c>
      <c r="D12" s="43">
        <v>259</v>
      </c>
      <c r="E12" s="43">
        <v>264.5</v>
      </c>
      <c r="F12" s="5">
        <v>52865</v>
      </c>
      <c r="G12" s="85">
        <v>-0.93632958801498134</v>
      </c>
      <c r="H12" s="4">
        <v>249.3</v>
      </c>
      <c r="I12" s="4">
        <v>229.1</v>
      </c>
      <c r="J12" s="4">
        <v>201.9</v>
      </c>
      <c r="K12" s="4">
        <v>75.218743736401322</v>
      </c>
      <c r="L12" s="4">
        <v>72.410522588431007</v>
      </c>
      <c r="M12" s="4">
        <v>89.772649235976729</v>
      </c>
      <c r="N12" s="4">
        <v>86.810124141477644</v>
      </c>
      <c r="O12" s="85">
        <v>7.2633228635399814</v>
      </c>
    </row>
    <row r="13" spans="1:15" x14ac:dyDescent="0.2">
      <c r="A13" s="44">
        <v>46132</v>
      </c>
      <c r="B13" s="43">
        <v>36958.800000000003</v>
      </c>
      <c r="C13" s="43">
        <v>266.5</v>
      </c>
      <c r="D13" s="43">
        <v>251</v>
      </c>
      <c r="E13" s="43">
        <v>251.5</v>
      </c>
      <c r="F13" s="5">
        <v>33051</v>
      </c>
      <c r="G13" s="85">
        <v>-4.9149338374291114</v>
      </c>
      <c r="H13" s="4">
        <v>250</v>
      </c>
      <c r="I13" s="4">
        <v>236.3</v>
      </c>
      <c r="J13" s="4">
        <v>205.82499999999999</v>
      </c>
      <c r="K13" s="4">
        <v>63.116404105465612</v>
      </c>
      <c r="L13" s="4">
        <v>65.563010766875081</v>
      </c>
      <c r="M13" s="4">
        <v>82.679483052294984</v>
      </c>
      <c r="N13" s="4">
        <v>85.433243778416752</v>
      </c>
      <c r="O13" s="85">
        <v>5.9810600366421909</v>
      </c>
    </row>
    <row r="14" spans="1:15" x14ac:dyDescent="0.2">
      <c r="A14" s="44">
        <v>46133</v>
      </c>
      <c r="B14" s="43">
        <v>37605.11</v>
      </c>
      <c r="C14" s="43">
        <v>261.5</v>
      </c>
      <c r="D14" s="43">
        <v>241</v>
      </c>
      <c r="E14" s="43">
        <v>249.5</v>
      </c>
      <c r="F14" s="5">
        <v>37520</v>
      </c>
      <c r="G14" s="85">
        <v>-0.79522862823061624</v>
      </c>
      <c r="H14" s="4">
        <v>255.1</v>
      </c>
      <c r="I14" s="4">
        <v>241.55</v>
      </c>
      <c r="J14" s="4">
        <v>209.625</v>
      </c>
      <c r="K14" s="4">
        <v>61.295692721659087</v>
      </c>
      <c r="L14" s="4">
        <v>64.538712099401778</v>
      </c>
      <c r="M14" s="4">
        <v>74.791786515737641</v>
      </c>
      <c r="N14" s="4">
        <v>81.886091357523711</v>
      </c>
      <c r="O14" s="85">
        <v>4.5821317901573124</v>
      </c>
    </row>
    <row r="15" spans="1:15" x14ac:dyDescent="0.2">
      <c r="A15" s="44">
        <v>46134</v>
      </c>
      <c r="B15" s="43">
        <v>37878.47</v>
      </c>
      <c r="C15" s="43">
        <v>251.5</v>
      </c>
      <c r="D15" s="43">
        <v>240</v>
      </c>
      <c r="E15" s="43">
        <v>241.5</v>
      </c>
      <c r="F15" s="5">
        <v>22137</v>
      </c>
      <c r="G15" s="85">
        <v>-3.2064128256513018</v>
      </c>
      <c r="H15" s="4">
        <v>254.8</v>
      </c>
      <c r="I15" s="4">
        <v>244.05</v>
      </c>
      <c r="J15" s="4">
        <v>213.4</v>
      </c>
      <c r="K15" s="4">
        <v>53.840646160148722</v>
      </c>
      <c r="L15" s="4">
        <v>60.419684302500848</v>
      </c>
      <c r="M15" s="4">
        <v>62.82415397345472</v>
      </c>
      <c r="N15" s="4">
        <v>75.532112229500711</v>
      </c>
      <c r="O15" s="85">
        <v>2.7900644610344152</v>
      </c>
    </row>
    <row r="16" spans="1:15" x14ac:dyDescent="0.2">
      <c r="A16" s="44">
        <v>46135</v>
      </c>
      <c r="B16" s="43">
        <v>37714.15</v>
      </c>
      <c r="C16" s="43">
        <v>241</v>
      </c>
      <c r="D16" s="43">
        <v>217.5</v>
      </c>
      <c r="E16" s="43">
        <v>217.5</v>
      </c>
      <c r="F16" s="5">
        <v>41075</v>
      </c>
      <c r="G16" s="85">
        <v>-9.9378881987577632</v>
      </c>
      <c r="H16" s="4">
        <v>244.9</v>
      </c>
      <c r="I16" s="4">
        <v>243.2</v>
      </c>
      <c r="J16" s="4">
        <v>215.92500000000001</v>
      </c>
      <c r="K16" s="4">
        <v>37.445309783557619</v>
      </c>
      <c r="L16" s="4">
        <v>49.980136611276251</v>
      </c>
      <c r="M16" s="4">
        <v>41.88276931563648</v>
      </c>
      <c r="N16" s="4">
        <v>64.315664591545968</v>
      </c>
      <c r="O16" s="85">
        <v>-0.18191344043420091</v>
      </c>
    </row>
    <row r="17" spans="1:15" x14ac:dyDescent="0.2">
      <c r="A17" s="44">
        <v>46136</v>
      </c>
      <c r="B17" s="43">
        <v>38932.400000000001</v>
      </c>
      <c r="C17" s="43">
        <v>217</v>
      </c>
      <c r="D17" s="43">
        <v>203.5</v>
      </c>
      <c r="E17" s="43">
        <v>208.5</v>
      </c>
      <c r="F17" s="5">
        <v>28404</v>
      </c>
      <c r="G17" s="85">
        <v>-4.1379310344827589</v>
      </c>
      <c r="H17" s="4">
        <v>233.7</v>
      </c>
      <c r="I17" s="4">
        <v>241.5</v>
      </c>
      <c r="J17" s="4">
        <v>217.35</v>
      </c>
      <c r="K17" s="4">
        <v>32.932497678720573</v>
      </c>
      <c r="L17" s="4">
        <v>46.680553610628827</v>
      </c>
      <c r="M17" s="4">
        <v>30.269264050799912</v>
      </c>
      <c r="N17" s="4">
        <v>52.96686441129728</v>
      </c>
      <c r="O17" s="85">
        <v>-2.7799608626340979</v>
      </c>
    </row>
    <row r="18" spans="1:15" x14ac:dyDescent="0.2">
      <c r="A18" s="44">
        <v>46139</v>
      </c>
      <c r="B18" s="43">
        <v>39616.629999999997</v>
      </c>
      <c r="C18" s="43">
        <v>214</v>
      </c>
      <c r="D18" s="43">
        <v>200</v>
      </c>
      <c r="E18" s="43">
        <v>211.5</v>
      </c>
      <c r="F18" s="5">
        <v>29501</v>
      </c>
      <c r="G18" s="85">
        <v>1.43884892086331</v>
      </c>
      <c r="H18" s="4">
        <v>225.7</v>
      </c>
      <c r="I18" s="4">
        <v>237.85</v>
      </c>
      <c r="J18" s="4">
        <v>219.32499999999999</v>
      </c>
      <c r="K18" s="4">
        <v>36.016927588396861</v>
      </c>
      <c r="L18" s="4">
        <v>47.930558872332242</v>
      </c>
      <c r="M18" s="4">
        <v>25.324923237446018</v>
      </c>
      <c r="N18" s="4">
        <v>43.752884020013518</v>
      </c>
      <c r="O18" s="85">
        <v>-4.2352939067778266</v>
      </c>
    </row>
    <row r="19" spans="1:15" x14ac:dyDescent="0.2">
      <c r="A19" s="44">
        <v>46140</v>
      </c>
      <c r="B19" s="43">
        <v>39521.730000000003</v>
      </c>
      <c r="C19" s="43">
        <v>222</v>
      </c>
      <c r="D19" s="43">
        <v>209.5</v>
      </c>
      <c r="E19" s="43">
        <v>217.5</v>
      </c>
      <c r="F19" s="5">
        <v>25868</v>
      </c>
      <c r="G19" s="85">
        <v>2.836879432624114</v>
      </c>
      <c r="H19" s="4">
        <v>219.3</v>
      </c>
      <c r="I19" s="4">
        <v>237.2</v>
      </c>
      <c r="J19" s="4">
        <v>220.77500000000001</v>
      </c>
      <c r="K19" s="4">
        <v>42.377103128805373</v>
      </c>
      <c r="L19" s="4">
        <v>50.464304604888497</v>
      </c>
      <c r="M19" s="4">
        <v>24.713259786932699</v>
      </c>
      <c r="N19" s="4">
        <v>37.406342608986577</v>
      </c>
      <c r="O19" s="85">
        <v>-4.69699867083607</v>
      </c>
    </row>
    <row r="20" spans="1:15" x14ac:dyDescent="0.2">
      <c r="A20" s="44">
        <v>46141</v>
      </c>
      <c r="B20" s="43">
        <v>39303.5</v>
      </c>
      <c r="C20" s="43">
        <v>216</v>
      </c>
      <c r="D20" s="43">
        <v>208.5</v>
      </c>
      <c r="E20" s="43">
        <v>213</v>
      </c>
      <c r="F20" s="5">
        <v>11447</v>
      </c>
      <c r="G20" s="85">
        <v>-2.068965517241379</v>
      </c>
      <c r="H20" s="4">
        <v>213.6</v>
      </c>
      <c r="I20" s="4">
        <v>234.2</v>
      </c>
      <c r="J20" s="4">
        <v>222.47499999999999</v>
      </c>
      <c r="K20" s="4">
        <v>38.897216868384703</v>
      </c>
      <c r="L20" s="4">
        <v>48.532074716095202</v>
      </c>
      <c r="M20" s="4">
        <v>22.292061334465199</v>
      </c>
      <c r="N20" s="4">
        <v>32.368248850812783</v>
      </c>
      <c r="O20" s="85">
        <v>-5.1710932120619333</v>
      </c>
    </row>
    <row r="21" spans="1:15" x14ac:dyDescent="0.2">
      <c r="A21" s="44">
        <v>46142</v>
      </c>
      <c r="B21" s="43">
        <v>38926.629999999997</v>
      </c>
      <c r="C21" s="43">
        <v>222.5</v>
      </c>
      <c r="D21" s="43">
        <v>212.5</v>
      </c>
      <c r="E21" s="43">
        <v>216</v>
      </c>
      <c r="F21" s="5">
        <v>16699</v>
      </c>
      <c r="G21" s="85">
        <v>1.408450704225352</v>
      </c>
      <c r="H21" s="4">
        <v>213.3</v>
      </c>
      <c r="I21" s="4">
        <v>229.1</v>
      </c>
      <c r="J21" s="4">
        <v>224.77500000000001</v>
      </c>
      <c r="K21" s="4">
        <v>42.663841670281869</v>
      </c>
      <c r="L21" s="4">
        <v>49.926451594766739</v>
      </c>
      <c r="M21" s="4">
        <v>22.881424348290079</v>
      </c>
      <c r="N21" s="4">
        <v>29.20597401663855</v>
      </c>
      <c r="O21" s="85">
        <v>-5.1376821602641147</v>
      </c>
    </row>
  </sheetData>
  <autoFilter ref="A1:O21" xr:uid="{00000000-0009-0000-0000-000014000000}"/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23.4</v>
      </c>
      <c r="D2" s="43">
        <v>22.9</v>
      </c>
      <c r="E2" s="43">
        <v>23.3</v>
      </c>
      <c r="F2" s="5">
        <v>3567</v>
      </c>
      <c r="G2" s="85">
        <v>2.417582417582421</v>
      </c>
      <c r="H2" s="4">
        <v>23.37</v>
      </c>
      <c r="I2" s="4">
        <v>23.66</v>
      </c>
      <c r="J2" s="4">
        <v>23.767499999999998</v>
      </c>
      <c r="K2" s="4">
        <v>41.993196437619083</v>
      </c>
      <c r="L2" s="4">
        <v>41.482802306603553</v>
      </c>
      <c r="M2" s="4">
        <v>23.29984528251919</v>
      </c>
      <c r="N2" s="4">
        <v>30.638963791008241</v>
      </c>
      <c r="O2" s="85">
        <v>-5.8184519227614473E-2</v>
      </c>
    </row>
    <row r="3" spans="1:15" x14ac:dyDescent="0.2">
      <c r="A3" s="44">
        <v>46114</v>
      </c>
      <c r="B3" s="43">
        <v>32572.43</v>
      </c>
      <c r="C3" s="43">
        <v>23.7</v>
      </c>
      <c r="D3" s="43">
        <v>23.2</v>
      </c>
      <c r="E3" s="43">
        <v>23.3</v>
      </c>
      <c r="F3" s="5">
        <v>3193</v>
      </c>
      <c r="G3" s="85">
        <v>0</v>
      </c>
      <c r="H3" s="4">
        <v>23.22</v>
      </c>
      <c r="I3" s="4">
        <v>23.56</v>
      </c>
      <c r="J3" s="4">
        <v>23.745000000000001</v>
      </c>
      <c r="K3" s="4">
        <v>41.993196437619083</v>
      </c>
      <c r="L3" s="4">
        <v>41.482802306603553</v>
      </c>
      <c r="M3" s="4">
        <v>28.436455994797772</v>
      </c>
      <c r="N3" s="4">
        <v>29.90479452560475</v>
      </c>
      <c r="O3" s="85">
        <v>-4.2548575469935179E-2</v>
      </c>
    </row>
    <row r="4" spans="1:15" x14ac:dyDescent="0.2">
      <c r="A4" s="44">
        <v>46119</v>
      </c>
      <c r="B4" s="43">
        <v>33229.82</v>
      </c>
      <c r="C4" s="43">
        <v>23.5</v>
      </c>
      <c r="D4" s="43">
        <v>23.1</v>
      </c>
      <c r="E4" s="43">
        <v>23.2</v>
      </c>
      <c r="F4" s="5">
        <v>2578</v>
      </c>
      <c r="G4" s="85">
        <v>-0.42918454935622918</v>
      </c>
      <c r="H4" s="4">
        <v>23.13</v>
      </c>
      <c r="I4" s="4">
        <v>23.45</v>
      </c>
      <c r="J4" s="4">
        <v>23.717500000000001</v>
      </c>
      <c r="K4" s="4">
        <v>39.398341904777119</v>
      </c>
      <c r="L4" s="4">
        <v>40.364817587090997</v>
      </c>
      <c r="M4" s="4">
        <v>30.451890203428398</v>
      </c>
      <c r="N4" s="4">
        <v>30.087159751545961</v>
      </c>
      <c r="O4" s="85">
        <v>-3.3489619151159167E-2</v>
      </c>
    </row>
    <row r="5" spans="1:15" x14ac:dyDescent="0.2">
      <c r="A5" s="44">
        <v>46120</v>
      </c>
      <c r="B5" s="43">
        <v>34761.379999999997</v>
      </c>
      <c r="C5" s="43">
        <v>24</v>
      </c>
      <c r="D5" s="43">
        <v>23.5</v>
      </c>
      <c r="E5" s="43">
        <v>23.8</v>
      </c>
      <c r="F5" s="5">
        <v>4776</v>
      </c>
      <c r="G5" s="85">
        <v>2.58620689655173</v>
      </c>
      <c r="H5" s="4">
        <v>23.27</v>
      </c>
      <c r="I5" s="4">
        <v>23.46</v>
      </c>
      <c r="J5" s="4">
        <v>23.747499999999999</v>
      </c>
      <c r="K5" s="4">
        <v>58.058357828031497</v>
      </c>
      <c r="L5" s="4">
        <v>49.307211097492818</v>
      </c>
      <c r="M5" s="4">
        <v>45.588616457458059</v>
      </c>
      <c r="N5" s="4">
        <v>35.254311986849991</v>
      </c>
      <c r="O5" s="85">
        <v>1.572081768754785E-2</v>
      </c>
    </row>
    <row r="6" spans="1:15" x14ac:dyDescent="0.2">
      <c r="A6" s="44">
        <v>46121</v>
      </c>
      <c r="B6" s="43">
        <v>34861.160000000003</v>
      </c>
      <c r="C6" s="43">
        <v>24.4</v>
      </c>
      <c r="D6" s="43">
        <v>23.55</v>
      </c>
      <c r="E6" s="43">
        <v>24.35</v>
      </c>
      <c r="F6" s="5">
        <v>6090</v>
      </c>
      <c r="G6" s="85">
        <v>2.3109243697479021</v>
      </c>
      <c r="H6" s="4">
        <v>23.59</v>
      </c>
      <c r="I6" s="4">
        <v>23.53</v>
      </c>
      <c r="J6" s="4">
        <v>23.815000000000001</v>
      </c>
      <c r="K6" s="4">
        <v>68.669963243475848</v>
      </c>
      <c r="L6" s="4">
        <v>55.917460299256433</v>
      </c>
      <c r="M6" s="4">
        <v>62.74535214810934</v>
      </c>
      <c r="N6" s="4">
        <v>44.41799204060311</v>
      </c>
      <c r="O6" s="85">
        <v>8.4291018122843342E-2</v>
      </c>
    </row>
    <row r="7" spans="1:15" x14ac:dyDescent="0.2">
      <c r="A7" s="44">
        <v>46122</v>
      </c>
      <c r="B7" s="43">
        <v>35417.83</v>
      </c>
      <c r="C7" s="43">
        <v>24.55</v>
      </c>
      <c r="D7" s="43">
        <v>24.05</v>
      </c>
      <c r="E7" s="43">
        <v>24.05</v>
      </c>
      <c r="F7" s="5">
        <v>3980</v>
      </c>
      <c r="G7" s="85">
        <v>-1.2320328542094481</v>
      </c>
      <c r="H7" s="4">
        <v>23.74</v>
      </c>
      <c r="I7" s="4">
        <v>23.555</v>
      </c>
      <c r="J7" s="4">
        <v>23.827500000000001</v>
      </c>
      <c r="K7" s="4">
        <v>58.913540761205603</v>
      </c>
      <c r="L7" s="4">
        <v>51.891108470302271</v>
      </c>
      <c r="M7" s="4">
        <v>66.154559089730554</v>
      </c>
      <c r="N7" s="4">
        <v>51.663514390312258</v>
      </c>
      <c r="O7" s="85">
        <v>0.1069638495801991</v>
      </c>
    </row>
    <row r="8" spans="1:15" x14ac:dyDescent="0.2">
      <c r="A8" s="44">
        <v>46125</v>
      </c>
      <c r="B8" s="43">
        <v>35457.29</v>
      </c>
      <c r="C8" s="43">
        <v>24.15</v>
      </c>
      <c r="D8" s="43">
        <v>23.8</v>
      </c>
      <c r="E8" s="43">
        <v>24.05</v>
      </c>
      <c r="F8" s="5">
        <v>2762</v>
      </c>
      <c r="G8" s="85">
        <v>0</v>
      </c>
      <c r="H8" s="4">
        <v>23.89</v>
      </c>
      <c r="I8" s="4">
        <v>23.555</v>
      </c>
      <c r="J8" s="4">
        <v>23.8475</v>
      </c>
      <c r="K8" s="4">
        <v>58.913540761205603</v>
      </c>
      <c r="L8" s="4">
        <v>51.891108470302271</v>
      </c>
      <c r="M8" s="4">
        <v>68.42736371747803</v>
      </c>
      <c r="N8" s="4">
        <v>57.251464166034182</v>
      </c>
      <c r="O8" s="85">
        <v>0.1185820589474493</v>
      </c>
    </row>
    <row r="9" spans="1:15" x14ac:dyDescent="0.2">
      <c r="A9" s="44">
        <v>46126</v>
      </c>
      <c r="B9" s="43">
        <v>36296.120000000003</v>
      </c>
      <c r="C9" s="43">
        <v>24.45</v>
      </c>
      <c r="D9" s="43">
        <v>24.15</v>
      </c>
      <c r="E9" s="43">
        <v>24.2</v>
      </c>
      <c r="F9" s="5">
        <v>3773</v>
      </c>
      <c r="G9" s="85">
        <v>0.62370062370061774</v>
      </c>
      <c r="H9" s="4">
        <v>24.09</v>
      </c>
      <c r="I9" s="4">
        <v>23.61</v>
      </c>
      <c r="J9" s="4">
        <v>23.85</v>
      </c>
      <c r="K9" s="4">
        <v>62.726454539233053</v>
      </c>
      <c r="L9" s="4">
        <v>53.867698198577067</v>
      </c>
      <c r="M9" s="4">
        <v>72.645269505345695</v>
      </c>
      <c r="N9" s="4">
        <v>62.382732612471351</v>
      </c>
      <c r="O9" s="85">
        <v>0.13196477669265769</v>
      </c>
    </row>
    <row r="10" spans="1:15" x14ac:dyDescent="0.2">
      <c r="A10" s="44">
        <v>46127</v>
      </c>
      <c r="B10" s="43">
        <v>36722.14</v>
      </c>
      <c r="C10" s="43">
        <v>24.85</v>
      </c>
      <c r="D10" s="43">
        <v>24.3</v>
      </c>
      <c r="E10" s="43">
        <v>24.7</v>
      </c>
      <c r="F10" s="5">
        <v>6981</v>
      </c>
      <c r="G10" s="85">
        <v>2.0661157024793391</v>
      </c>
      <c r="H10" s="4">
        <v>24.27</v>
      </c>
      <c r="I10" s="4">
        <v>23.77</v>
      </c>
      <c r="J10" s="4">
        <v>23.8675</v>
      </c>
      <c r="K10" s="4">
        <v>72.817016971485344</v>
      </c>
      <c r="L10" s="4">
        <v>59.864109247402688</v>
      </c>
      <c r="M10" s="4">
        <v>79.19941043946119</v>
      </c>
      <c r="N10" s="4">
        <v>67.988291888134626</v>
      </c>
      <c r="O10" s="85">
        <v>0.16778731784322851</v>
      </c>
    </row>
    <row r="11" spans="1:15" x14ac:dyDescent="0.2">
      <c r="A11" s="44">
        <v>46128</v>
      </c>
      <c r="B11" s="43">
        <v>37132.019999999997</v>
      </c>
      <c r="C11" s="43">
        <v>25.45</v>
      </c>
      <c r="D11" s="43">
        <v>25</v>
      </c>
      <c r="E11" s="43">
        <v>25.25</v>
      </c>
      <c r="F11" s="5">
        <v>5276</v>
      </c>
      <c r="G11" s="85">
        <v>2.2267206477732819</v>
      </c>
      <c r="H11" s="4">
        <v>24.45</v>
      </c>
      <c r="I11" s="4">
        <v>24.02</v>
      </c>
      <c r="J11" s="4">
        <v>23.905000000000001</v>
      </c>
      <c r="K11" s="4">
        <v>79.973427274310353</v>
      </c>
      <c r="L11" s="4">
        <v>65.279755535829366</v>
      </c>
      <c r="M11" s="4">
        <v>83.296060860350025</v>
      </c>
      <c r="N11" s="4">
        <v>73.090881545539759</v>
      </c>
      <c r="O11" s="85">
        <v>0.21860529072524229</v>
      </c>
    </row>
    <row r="12" spans="1:15" x14ac:dyDescent="0.2">
      <c r="A12" s="44">
        <v>46129</v>
      </c>
      <c r="B12" s="43">
        <v>36804.339999999997</v>
      </c>
      <c r="C12" s="43">
        <v>25.8</v>
      </c>
      <c r="D12" s="43">
        <v>25.1</v>
      </c>
      <c r="E12" s="43">
        <v>25.65</v>
      </c>
      <c r="F12" s="5">
        <v>6422</v>
      </c>
      <c r="G12" s="85">
        <v>1.5841584158415789</v>
      </c>
      <c r="H12" s="4">
        <v>24.77</v>
      </c>
      <c r="I12" s="4">
        <v>24.254999999999999</v>
      </c>
      <c r="J12" s="4">
        <v>23.9575</v>
      </c>
      <c r="K12" s="4">
        <v>83.715071724631258</v>
      </c>
      <c r="L12" s="4">
        <v>68.637264520594158</v>
      </c>
      <c r="M12" s="4">
        <v>87.012188721714807</v>
      </c>
      <c r="N12" s="4">
        <v>77.731317270931441</v>
      </c>
      <c r="O12" s="85">
        <v>0.26608725234602493</v>
      </c>
    </row>
    <row r="13" spans="1:15" x14ac:dyDescent="0.2">
      <c r="A13" s="44">
        <v>46132</v>
      </c>
      <c r="B13" s="43">
        <v>36958.800000000003</v>
      </c>
      <c r="C13" s="43">
        <v>25.9</v>
      </c>
      <c r="D13" s="43">
        <v>25.55</v>
      </c>
      <c r="E13" s="43">
        <v>25.65</v>
      </c>
      <c r="F13" s="5">
        <v>5701</v>
      </c>
      <c r="G13" s="85">
        <v>0</v>
      </c>
      <c r="H13" s="4">
        <v>25.09</v>
      </c>
      <c r="I13" s="4">
        <v>24.49</v>
      </c>
      <c r="J13" s="4">
        <v>24.024999999999999</v>
      </c>
      <c r="K13" s="4">
        <v>83.715071724631258</v>
      </c>
      <c r="L13" s="4">
        <v>68.637264520594158</v>
      </c>
      <c r="M13" s="4">
        <v>87.869236925587643</v>
      </c>
      <c r="N13" s="4">
        <v>81.110623822483504</v>
      </c>
      <c r="O13" s="85">
        <v>0.28285565165008048</v>
      </c>
    </row>
    <row r="14" spans="1:15" x14ac:dyDescent="0.2">
      <c r="A14" s="44">
        <v>46133</v>
      </c>
      <c r="B14" s="43">
        <v>37605.11</v>
      </c>
      <c r="C14" s="43">
        <v>25.85</v>
      </c>
      <c r="D14" s="43">
        <v>25.55</v>
      </c>
      <c r="E14" s="43">
        <v>25.65</v>
      </c>
      <c r="F14" s="5">
        <v>3419</v>
      </c>
      <c r="G14" s="85">
        <v>0</v>
      </c>
      <c r="H14" s="4">
        <v>25.38</v>
      </c>
      <c r="I14" s="4">
        <v>24.734999999999999</v>
      </c>
      <c r="J14" s="4">
        <v>24.092500000000001</v>
      </c>
      <c r="K14" s="4">
        <v>83.715071724631258</v>
      </c>
      <c r="L14" s="4">
        <v>68.637264520594158</v>
      </c>
      <c r="M14" s="4">
        <v>88.366725326278271</v>
      </c>
      <c r="N14" s="4">
        <v>83.529324323748426</v>
      </c>
      <c r="O14" s="85">
        <v>0.27884967266868121</v>
      </c>
    </row>
    <row r="15" spans="1:15" x14ac:dyDescent="0.2">
      <c r="A15" s="44">
        <v>46134</v>
      </c>
      <c r="B15" s="43">
        <v>37878.47</v>
      </c>
      <c r="C15" s="43">
        <v>26</v>
      </c>
      <c r="D15" s="43">
        <v>25.45</v>
      </c>
      <c r="E15" s="43">
        <v>26</v>
      </c>
      <c r="F15" s="5">
        <v>5881</v>
      </c>
      <c r="G15" s="85">
        <v>1.364522417154002</v>
      </c>
      <c r="H15" s="4">
        <v>25.64</v>
      </c>
      <c r="I15" s="4">
        <v>24.955000000000009</v>
      </c>
      <c r="J15" s="4">
        <v>24.2075</v>
      </c>
      <c r="K15" s="4">
        <v>87.302130770108988</v>
      </c>
      <c r="L15" s="4">
        <v>71.741516691414844</v>
      </c>
      <c r="M15" s="4">
        <v>92.244483550852181</v>
      </c>
      <c r="N15" s="4">
        <v>86.434377399449673</v>
      </c>
      <c r="O15" s="85">
        <v>0.28373334340900008</v>
      </c>
    </row>
    <row r="16" spans="1:15" x14ac:dyDescent="0.2">
      <c r="A16" s="44">
        <v>46135</v>
      </c>
      <c r="B16" s="43">
        <v>37714.15</v>
      </c>
      <c r="C16" s="43">
        <v>26.2</v>
      </c>
      <c r="D16" s="43">
        <v>24.6</v>
      </c>
      <c r="E16" s="43">
        <v>25.05</v>
      </c>
      <c r="F16" s="5">
        <v>7263</v>
      </c>
      <c r="G16" s="85">
        <v>-3.6538461538461511</v>
      </c>
      <c r="H16" s="4">
        <v>25.6</v>
      </c>
      <c r="I16" s="4">
        <v>25.024999999999999</v>
      </c>
      <c r="J16" s="4">
        <v>24.2775</v>
      </c>
      <c r="K16" s="4">
        <v>50.832520276163507</v>
      </c>
      <c r="L16" s="4">
        <v>55.481083421295423</v>
      </c>
      <c r="M16" s="4">
        <v>78.857433478345897</v>
      </c>
      <c r="N16" s="4">
        <v>83.908729425748405</v>
      </c>
      <c r="O16" s="85">
        <v>0.21032321563772549</v>
      </c>
    </row>
    <row r="17" spans="1:15" x14ac:dyDescent="0.2">
      <c r="A17" s="44">
        <v>46136</v>
      </c>
      <c r="B17" s="43">
        <v>38932.400000000001</v>
      </c>
      <c r="C17" s="43">
        <v>25.2</v>
      </c>
      <c r="D17" s="43">
        <v>24.35</v>
      </c>
      <c r="E17" s="43">
        <v>24.6</v>
      </c>
      <c r="F17" s="5">
        <v>7175</v>
      </c>
      <c r="G17" s="85">
        <v>-1.79640718562874</v>
      </c>
      <c r="H17" s="4">
        <v>25.39</v>
      </c>
      <c r="I17" s="4">
        <v>25.08</v>
      </c>
      <c r="J17" s="4">
        <v>24.317499999999999</v>
      </c>
      <c r="K17" s="4">
        <v>41.078366442140947</v>
      </c>
      <c r="L17" s="4">
        <v>49.664294559547038</v>
      </c>
      <c r="M17" s="4">
        <v>59.888695489629008</v>
      </c>
      <c r="N17" s="4">
        <v>75.902051447041941</v>
      </c>
      <c r="O17" s="85">
        <v>0.12311779472094909</v>
      </c>
    </row>
    <row r="18" spans="1:15" x14ac:dyDescent="0.2">
      <c r="A18" s="44">
        <v>46139</v>
      </c>
      <c r="B18" s="43">
        <v>39616.629999999997</v>
      </c>
      <c r="C18" s="43">
        <v>24.65</v>
      </c>
      <c r="D18" s="43">
        <v>23.8</v>
      </c>
      <c r="E18" s="43">
        <v>23.95</v>
      </c>
      <c r="F18" s="5">
        <v>4950</v>
      </c>
      <c r="G18" s="85">
        <v>-2.6422764227642359</v>
      </c>
      <c r="H18" s="4">
        <v>25.05</v>
      </c>
      <c r="I18" s="4">
        <v>25.07</v>
      </c>
      <c r="J18" s="4">
        <v>24.3125</v>
      </c>
      <c r="K18" s="4">
        <v>30.825590764430171</v>
      </c>
      <c r="L18" s="4">
        <v>42.62273183573636</v>
      </c>
      <c r="M18" s="4">
        <v>42.009130326419317</v>
      </c>
      <c r="N18" s="4">
        <v>64.604411073501069</v>
      </c>
      <c r="O18" s="85">
        <v>1.8793060462523579E-2</v>
      </c>
    </row>
    <row r="19" spans="1:15" x14ac:dyDescent="0.2">
      <c r="A19" s="44">
        <v>46140</v>
      </c>
      <c r="B19" s="43">
        <v>39521.730000000003</v>
      </c>
      <c r="C19" s="43">
        <v>24.25</v>
      </c>
      <c r="D19" s="43">
        <v>23.8</v>
      </c>
      <c r="E19" s="43">
        <v>24.2</v>
      </c>
      <c r="F19" s="5">
        <v>2162</v>
      </c>
      <c r="G19" s="85">
        <v>1.0438413361169101</v>
      </c>
      <c r="H19" s="4">
        <v>24.76</v>
      </c>
      <c r="I19" s="4">
        <v>25.07</v>
      </c>
      <c r="J19" s="4">
        <v>24.34</v>
      </c>
      <c r="K19" s="4">
        <v>37.971056971632507</v>
      </c>
      <c r="L19" s="4">
        <v>45.844417926675433</v>
      </c>
      <c r="M19" s="4">
        <v>33.561642439835083</v>
      </c>
      <c r="N19" s="4">
        <v>54.256821528945743</v>
      </c>
      <c r="O19" s="85">
        <v>-3.3399788534294511E-2</v>
      </c>
    </row>
    <row r="20" spans="1:15" x14ac:dyDescent="0.2">
      <c r="A20" s="44">
        <v>46141</v>
      </c>
      <c r="B20" s="43">
        <v>39303.5</v>
      </c>
      <c r="C20" s="43">
        <v>24.4</v>
      </c>
      <c r="D20" s="43">
        <v>23.8</v>
      </c>
      <c r="E20" s="43">
        <v>24.35</v>
      </c>
      <c r="F20" s="5">
        <v>2666</v>
      </c>
      <c r="G20" s="85">
        <v>0.61983471074381047</v>
      </c>
      <c r="H20" s="4">
        <v>24.43</v>
      </c>
      <c r="I20" s="4">
        <v>25.035</v>
      </c>
      <c r="J20" s="4">
        <v>24.4025</v>
      </c>
      <c r="K20" s="4">
        <v>42.265004596149844</v>
      </c>
      <c r="L20" s="4">
        <v>47.764197803924162</v>
      </c>
      <c r="M20" s="4">
        <v>30.013317182112289</v>
      </c>
      <c r="N20" s="4">
        <v>46.175653413334587</v>
      </c>
      <c r="O20" s="85">
        <v>-5.6486987930200572E-2</v>
      </c>
    </row>
    <row r="21" spans="1:15" x14ac:dyDescent="0.2">
      <c r="A21" s="44">
        <v>46142</v>
      </c>
      <c r="B21" s="43">
        <v>38926.629999999997</v>
      </c>
      <c r="C21" s="43">
        <v>24.45</v>
      </c>
      <c r="D21" s="43">
        <v>23.9</v>
      </c>
      <c r="E21" s="43">
        <v>23.9</v>
      </c>
      <c r="F21" s="5">
        <v>2651</v>
      </c>
      <c r="G21" s="85">
        <v>-1.84804928131418</v>
      </c>
      <c r="H21" s="4">
        <v>24.2</v>
      </c>
      <c r="I21" s="4">
        <v>24.9</v>
      </c>
      <c r="J21" s="4">
        <v>24.46</v>
      </c>
      <c r="K21" s="4">
        <v>33.833395740179938</v>
      </c>
      <c r="L21" s="4">
        <v>42.798845411895293</v>
      </c>
      <c r="M21" s="4">
        <v>21.397767010297059</v>
      </c>
      <c r="N21" s="4">
        <v>37.916357945655413</v>
      </c>
      <c r="O21" s="85">
        <v>-9.8282913903222829E-2</v>
      </c>
    </row>
  </sheetData>
  <autoFilter ref="A1:O21" xr:uid="{00000000-0009-0000-0000-000015000000}"/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233.5</v>
      </c>
      <c r="D2" s="43">
        <v>227.5</v>
      </c>
      <c r="E2" s="43">
        <v>232</v>
      </c>
      <c r="F2" s="5">
        <v>2953</v>
      </c>
      <c r="G2" s="85">
        <v>4.2696629213483144</v>
      </c>
      <c r="H2" s="4">
        <v>230.2</v>
      </c>
      <c r="I2" s="4">
        <v>234.85</v>
      </c>
      <c r="J2" s="4">
        <v>232.42500000000001</v>
      </c>
      <c r="K2" s="4">
        <v>49.033906835749903</v>
      </c>
      <c r="L2" s="4">
        <v>49.095604567542651</v>
      </c>
      <c r="M2" s="4">
        <v>22.02617867896392</v>
      </c>
      <c r="N2" s="4">
        <v>27.766843583821721</v>
      </c>
      <c r="O2" s="85">
        <v>-0.98618357227706877</v>
      </c>
    </row>
    <row r="3" spans="1:15" x14ac:dyDescent="0.2">
      <c r="A3" s="44">
        <v>46114</v>
      </c>
      <c r="B3" s="43">
        <v>32572.43</v>
      </c>
      <c r="C3" s="43">
        <v>233.5</v>
      </c>
      <c r="D3" s="43">
        <v>227</v>
      </c>
      <c r="E3" s="43">
        <v>228</v>
      </c>
      <c r="F3" s="5">
        <v>3071</v>
      </c>
      <c r="G3" s="85">
        <v>-1.7241379310344831</v>
      </c>
      <c r="H3" s="4">
        <v>229.1</v>
      </c>
      <c r="I3" s="4">
        <v>232.9</v>
      </c>
      <c r="J3" s="4">
        <v>232.92500000000001</v>
      </c>
      <c r="K3" s="4">
        <v>42.573704211601182</v>
      </c>
      <c r="L3" s="4">
        <v>45.709137335124787</v>
      </c>
      <c r="M3" s="4">
        <v>25.0015794367696</v>
      </c>
      <c r="N3" s="4">
        <v>26.84508886813768</v>
      </c>
      <c r="O3" s="85">
        <v>-1.0600125433565371</v>
      </c>
    </row>
    <row r="4" spans="1:15" x14ac:dyDescent="0.2">
      <c r="A4" s="44">
        <v>46119</v>
      </c>
      <c r="B4" s="43">
        <v>33229.82</v>
      </c>
      <c r="C4" s="43">
        <v>231</v>
      </c>
      <c r="D4" s="43">
        <v>222</v>
      </c>
      <c r="E4" s="43">
        <v>222.5</v>
      </c>
      <c r="F4" s="5">
        <v>3680</v>
      </c>
      <c r="G4" s="85">
        <v>-2.4122807017543861</v>
      </c>
      <c r="H4" s="4">
        <v>226.6</v>
      </c>
      <c r="I4" s="4">
        <v>230.3</v>
      </c>
      <c r="J4" s="4">
        <v>233.1</v>
      </c>
      <c r="K4" s="4">
        <v>34.971380431049639</v>
      </c>
      <c r="L4" s="4">
        <v>41.423259444311263</v>
      </c>
      <c r="M4" s="4">
        <v>18.33438629117973</v>
      </c>
      <c r="N4" s="4">
        <v>24.008188009151691</v>
      </c>
      <c r="O4" s="85">
        <v>-1.40446615172931</v>
      </c>
    </row>
    <row r="5" spans="1:15" x14ac:dyDescent="0.2">
      <c r="A5" s="44">
        <v>46120</v>
      </c>
      <c r="B5" s="43">
        <v>34761.379999999997</v>
      </c>
      <c r="C5" s="43">
        <v>244.5</v>
      </c>
      <c r="D5" s="43">
        <v>229</v>
      </c>
      <c r="E5" s="43">
        <v>244.5</v>
      </c>
      <c r="F5" s="5">
        <v>10714</v>
      </c>
      <c r="G5" s="85">
        <v>9.8876404494382015</v>
      </c>
      <c r="H5" s="4">
        <v>229.9</v>
      </c>
      <c r="I5" s="4">
        <v>231.5</v>
      </c>
      <c r="J5" s="4">
        <v>234.57499999999999</v>
      </c>
      <c r="K5" s="4">
        <v>64.984327142244183</v>
      </c>
      <c r="L5" s="4">
        <v>58.431229984254479</v>
      </c>
      <c r="M5" s="4">
        <v>45.556257527453148</v>
      </c>
      <c r="N5" s="4">
        <v>31.190877848585512</v>
      </c>
      <c r="O5" s="85">
        <v>-0.14229839511374481</v>
      </c>
    </row>
    <row r="6" spans="1:15" x14ac:dyDescent="0.2">
      <c r="A6" s="44">
        <v>46121</v>
      </c>
      <c r="B6" s="43">
        <v>34861.160000000003</v>
      </c>
      <c r="C6" s="43">
        <v>256</v>
      </c>
      <c r="D6" s="43">
        <v>247</v>
      </c>
      <c r="E6" s="43">
        <v>251</v>
      </c>
      <c r="F6" s="5">
        <v>11984</v>
      </c>
      <c r="G6" s="85">
        <v>2.6584867075664622</v>
      </c>
      <c r="H6" s="4">
        <v>235.6</v>
      </c>
      <c r="I6" s="4">
        <v>233.1</v>
      </c>
      <c r="J6" s="4">
        <v>236.07499999999999</v>
      </c>
      <c r="K6" s="4">
        <v>69.908369152640475</v>
      </c>
      <c r="L6" s="4">
        <v>61.98853524615167</v>
      </c>
      <c r="M6" s="4">
        <v>58.873253810572628</v>
      </c>
      <c r="N6" s="4">
        <v>40.418336502581212</v>
      </c>
      <c r="O6" s="85">
        <v>1.0718541258659431</v>
      </c>
    </row>
    <row r="7" spans="1:15" x14ac:dyDescent="0.2">
      <c r="A7" s="44">
        <v>46122</v>
      </c>
      <c r="B7" s="43">
        <v>35417.83</v>
      </c>
      <c r="C7" s="43">
        <v>265.5</v>
      </c>
      <c r="D7" s="43">
        <v>251.5</v>
      </c>
      <c r="E7" s="43">
        <v>262.5</v>
      </c>
      <c r="F7" s="5">
        <v>16450</v>
      </c>
      <c r="G7" s="85">
        <v>4.5816733067729087</v>
      </c>
      <c r="H7" s="4">
        <v>241.7</v>
      </c>
      <c r="I7" s="4">
        <v>235.95</v>
      </c>
      <c r="J7" s="4">
        <v>237.6</v>
      </c>
      <c r="K7" s="4">
        <v>76.826841817417076</v>
      </c>
      <c r="L7" s="4">
        <v>67.376849375098374</v>
      </c>
      <c r="M7" s="4">
        <v>70.309441934321143</v>
      </c>
      <c r="N7" s="4">
        <v>50.382038313161189</v>
      </c>
      <c r="O7" s="85">
        <v>2.508909092638739</v>
      </c>
    </row>
    <row r="8" spans="1:15" x14ac:dyDescent="0.2">
      <c r="A8" s="44">
        <v>46125</v>
      </c>
      <c r="B8" s="43">
        <v>35457.29</v>
      </c>
      <c r="C8" s="43">
        <v>268</v>
      </c>
      <c r="D8" s="43">
        <v>259</v>
      </c>
      <c r="E8" s="43">
        <v>264</v>
      </c>
      <c r="F8" s="5">
        <v>9009</v>
      </c>
      <c r="G8" s="85">
        <v>0.5714285714285714</v>
      </c>
      <c r="H8" s="4">
        <v>248.9</v>
      </c>
      <c r="I8" s="4">
        <v>239</v>
      </c>
      <c r="J8" s="4">
        <v>239.4</v>
      </c>
      <c r="K8" s="4">
        <v>77.631794429601811</v>
      </c>
      <c r="L8" s="4">
        <v>68.021869625475105</v>
      </c>
      <c r="M8" s="4">
        <v>77.338911110335957</v>
      </c>
      <c r="N8" s="4">
        <v>59.367662578886112</v>
      </c>
      <c r="O8" s="85">
        <v>3.3664472486188348</v>
      </c>
    </row>
    <row r="9" spans="1:15" x14ac:dyDescent="0.2">
      <c r="A9" s="44">
        <v>46126</v>
      </c>
      <c r="B9" s="43">
        <v>36296.120000000003</v>
      </c>
      <c r="C9" s="43">
        <v>273.5</v>
      </c>
      <c r="D9" s="43">
        <v>263.5</v>
      </c>
      <c r="E9" s="43">
        <v>263.5</v>
      </c>
      <c r="F9" s="5">
        <v>10232</v>
      </c>
      <c r="G9" s="85">
        <v>-0.18939393939393939</v>
      </c>
      <c r="H9" s="4">
        <v>257.10000000000002</v>
      </c>
      <c r="I9" s="4">
        <v>241.85</v>
      </c>
      <c r="J9" s="4">
        <v>240.92500000000001</v>
      </c>
      <c r="K9" s="4">
        <v>76.567916235738309</v>
      </c>
      <c r="L9" s="4">
        <v>67.536299437785615</v>
      </c>
      <c r="M9" s="4">
        <v>78.482350996634224</v>
      </c>
      <c r="N9" s="4">
        <v>65.739225384802154</v>
      </c>
      <c r="O9" s="85">
        <v>3.6804937856720881</v>
      </c>
    </row>
    <row r="10" spans="1:15" x14ac:dyDescent="0.2">
      <c r="A10" s="44">
        <v>46127</v>
      </c>
      <c r="B10" s="43">
        <v>36722.14</v>
      </c>
      <c r="C10" s="43">
        <v>284</v>
      </c>
      <c r="D10" s="43">
        <v>268</v>
      </c>
      <c r="E10" s="43">
        <v>279</v>
      </c>
      <c r="F10" s="5">
        <v>25948</v>
      </c>
      <c r="G10" s="85">
        <v>5.8823529411764701</v>
      </c>
      <c r="H10" s="4">
        <v>264</v>
      </c>
      <c r="I10" s="4">
        <v>246.95</v>
      </c>
      <c r="J10" s="4">
        <v>243.05</v>
      </c>
      <c r="K10" s="4">
        <v>84.479952491843406</v>
      </c>
      <c r="L10" s="4">
        <v>73.849313996761452</v>
      </c>
      <c r="M10" s="4">
        <v>82.966728621412059</v>
      </c>
      <c r="N10" s="4">
        <v>71.481726463672118</v>
      </c>
      <c r="O10" s="85">
        <v>4.6501214980124503</v>
      </c>
    </row>
    <row r="11" spans="1:15" x14ac:dyDescent="0.2">
      <c r="A11" s="44">
        <v>46128</v>
      </c>
      <c r="B11" s="43">
        <v>37132.019999999997</v>
      </c>
      <c r="C11" s="43">
        <v>286</v>
      </c>
      <c r="D11" s="43">
        <v>275</v>
      </c>
      <c r="E11" s="43">
        <v>281</v>
      </c>
      <c r="F11" s="5">
        <v>15475</v>
      </c>
      <c r="G11" s="85">
        <v>0.71684587813620071</v>
      </c>
      <c r="H11" s="4">
        <v>270</v>
      </c>
      <c r="I11" s="4">
        <v>252.8</v>
      </c>
      <c r="J11" s="4">
        <v>244.7</v>
      </c>
      <c r="K11" s="4">
        <v>85.251064687634241</v>
      </c>
      <c r="L11" s="4">
        <v>74.546069612040199</v>
      </c>
      <c r="M11" s="4">
        <v>86.040319080941373</v>
      </c>
      <c r="N11" s="4">
        <v>76.334590669428536</v>
      </c>
      <c r="O11" s="85">
        <v>5.1076882743348024</v>
      </c>
    </row>
    <row r="12" spans="1:15" x14ac:dyDescent="0.2">
      <c r="A12" s="44">
        <v>46129</v>
      </c>
      <c r="B12" s="43">
        <v>36804.339999999997</v>
      </c>
      <c r="C12" s="43">
        <v>285.5</v>
      </c>
      <c r="D12" s="43">
        <v>278</v>
      </c>
      <c r="E12" s="43">
        <v>281.5</v>
      </c>
      <c r="F12" s="5">
        <v>10874</v>
      </c>
      <c r="G12" s="85">
        <v>0.1779359430604982</v>
      </c>
      <c r="H12" s="4">
        <v>273.8</v>
      </c>
      <c r="I12" s="4">
        <v>257.75</v>
      </c>
      <c r="J12" s="4">
        <v>246.3</v>
      </c>
      <c r="K12" s="4">
        <v>85.467675861736225</v>
      </c>
      <c r="L12" s="4">
        <v>74.729696560789392</v>
      </c>
      <c r="M12" s="4">
        <v>88.349796053960915</v>
      </c>
      <c r="N12" s="4">
        <v>80.339659130939324</v>
      </c>
      <c r="O12" s="85">
        <v>5.1129508192390603</v>
      </c>
    </row>
    <row r="13" spans="1:15" x14ac:dyDescent="0.2">
      <c r="A13" s="44">
        <v>46132</v>
      </c>
      <c r="B13" s="43">
        <v>36958.800000000003</v>
      </c>
      <c r="C13" s="43">
        <v>283</v>
      </c>
      <c r="D13" s="43">
        <v>276</v>
      </c>
      <c r="E13" s="43">
        <v>279</v>
      </c>
      <c r="F13" s="5">
        <v>8155</v>
      </c>
      <c r="G13" s="85">
        <v>-0.88809946714031962</v>
      </c>
      <c r="H13" s="4">
        <v>276.8</v>
      </c>
      <c r="I13" s="4">
        <v>262.85000000000002</v>
      </c>
      <c r="J13" s="4">
        <v>247.875</v>
      </c>
      <c r="K13" s="4">
        <v>78.546230665060193</v>
      </c>
      <c r="L13" s="4">
        <v>71.900444090475119</v>
      </c>
      <c r="M13" s="4">
        <v>88.139630117845286</v>
      </c>
      <c r="N13" s="4">
        <v>82.939649459907969</v>
      </c>
      <c r="O13" s="85">
        <v>4.6313355225661201</v>
      </c>
    </row>
    <row r="14" spans="1:15" x14ac:dyDescent="0.2">
      <c r="A14" s="44">
        <v>46133</v>
      </c>
      <c r="B14" s="43">
        <v>37605.11</v>
      </c>
      <c r="C14" s="43">
        <v>291.5</v>
      </c>
      <c r="D14" s="43">
        <v>280</v>
      </c>
      <c r="E14" s="43">
        <v>288.5</v>
      </c>
      <c r="F14" s="5">
        <v>15844</v>
      </c>
      <c r="G14" s="85">
        <v>3.4050179211469538</v>
      </c>
      <c r="H14" s="4">
        <v>281.8</v>
      </c>
      <c r="I14" s="4">
        <v>269.45</v>
      </c>
      <c r="J14" s="4">
        <v>249.875</v>
      </c>
      <c r="K14" s="4">
        <v>84.332118509537821</v>
      </c>
      <c r="L14" s="4">
        <v>75.712304222959247</v>
      </c>
      <c r="M14" s="4">
        <v>89.845895733994226</v>
      </c>
      <c r="N14" s="4">
        <v>85.24173155127005</v>
      </c>
      <c r="O14" s="85">
        <v>4.6250579122000897</v>
      </c>
    </row>
    <row r="15" spans="1:15" x14ac:dyDescent="0.2">
      <c r="A15" s="44">
        <v>46134</v>
      </c>
      <c r="B15" s="43">
        <v>37878.47</v>
      </c>
      <c r="C15" s="43">
        <v>292</v>
      </c>
      <c r="D15" s="43">
        <v>285</v>
      </c>
      <c r="E15" s="43">
        <v>285</v>
      </c>
      <c r="F15" s="5">
        <v>8723</v>
      </c>
      <c r="G15" s="85">
        <v>-1.21317157712305</v>
      </c>
      <c r="H15" s="4">
        <v>283</v>
      </c>
      <c r="I15" s="4">
        <v>273.5</v>
      </c>
      <c r="J15" s="4">
        <v>252.5</v>
      </c>
      <c r="K15" s="4">
        <v>75.348215394800931</v>
      </c>
      <c r="L15" s="4">
        <v>71.797758360652381</v>
      </c>
      <c r="M15" s="4">
        <v>87.469280283568168</v>
      </c>
      <c r="N15" s="4">
        <v>85.984247795369413</v>
      </c>
      <c r="O15" s="85">
        <v>4.0768707653340783</v>
      </c>
    </row>
    <row r="16" spans="1:15" x14ac:dyDescent="0.2">
      <c r="A16" s="44">
        <v>46135</v>
      </c>
      <c r="B16" s="43">
        <v>37714.15</v>
      </c>
      <c r="C16" s="43">
        <v>289</v>
      </c>
      <c r="D16" s="43">
        <v>272</v>
      </c>
      <c r="E16" s="43">
        <v>275</v>
      </c>
      <c r="F16" s="5">
        <v>9064</v>
      </c>
      <c r="G16" s="85">
        <v>-3.5087719298245612</v>
      </c>
      <c r="H16" s="4">
        <v>281.8</v>
      </c>
      <c r="I16" s="4">
        <v>275.89999999999998</v>
      </c>
      <c r="J16" s="4">
        <v>254.5</v>
      </c>
      <c r="K16" s="4">
        <v>55.190218822713092</v>
      </c>
      <c r="L16" s="4">
        <v>61.833217663560369</v>
      </c>
      <c r="M16" s="4">
        <v>74.474469683994926</v>
      </c>
      <c r="N16" s="4">
        <v>82.147655091577917</v>
      </c>
      <c r="O16" s="85">
        <v>2.7936552676420092</v>
      </c>
    </row>
    <row r="17" spans="1:15" x14ac:dyDescent="0.2">
      <c r="A17" s="44">
        <v>46136</v>
      </c>
      <c r="B17" s="43">
        <v>38932.400000000001</v>
      </c>
      <c r="C17" s="43">
        <v>281</v>
      </c>
      <c r="D17" s="43">
        <v>275.5</v>
      </c>
      <c r="E17" s="43">
        <v>278</v>
      </c>
      <c r="F17" s="5">
        <v>5035</v>
      </c>
      <c r="G17" s="85">
        <v>1.0909090909090911</v>
      </c>
      <c r="H17" s="4">
        <v>281.10000000000002</v>
      </c>
      <c r="I17" s="4">
        <v>277.45</v>
      </c>
      <c r="J17" s="4">
        <v>256.7</v>
      </c>
      <c r="K17" s="4">
        <v>59.126769623073919</v>
      </c>
      <c r="L17" s="4">
        <v>63.491469797291423</v>
      </c>
      <c r="M17" s="4">
        <v>66.608710783481996</v>
      </c>
      <c r="N17" s="4">
        <v>76.968006988879267</v>
      </c>
      <c r="O17" s="85">
        <v>1.940268840496127</v>
      </c>
    </row>
    <row r="18" spans="1:15" x14ac:dyDescent="0.2">
      <c r="A18" s="44">
        <v>46139</v>
      </c>
      <c r="B18" s="43">
        <v>39616.629999999997</v>
      </c>
      <c r="C18" s="43">
        <v>286.5</v>
      </c>
      <c r="D18" s="43">
        <v>276</v>
      </c>
      <c r="E18" s="43">
        <v>285</v>
      </c>
      <c r="F18" s="5">
        <v>8641</v>
      </c>
      <c r="G18" s="85">
        <v>2.5179856115107908</v>
      </c>
      <c r="H18" s="4">
        <v>282.3</v>
      </c>
      <c r="I18" s="4">
        <v>279.55</v>
      </c>
      <c r="J18" s="4">
        <v>259.27499999999998</v>
      </c>
      <c r="K18" s="4">
        <v>67.195936728448515</v>
      </c>
      <c r="L18" s="4">
        <v>67.127014665056478</v>
      </c>
      <c r="M18" s="4">
        <v>68.016918300099107</v>
      </c>
      <c r="N18" s="4">
        <v>73.984310759285876</v>
      </c>
      <c r="O18" s="85">
        <v>1.651875264368035</v>
      </c>
    </row>
    <row r="19" spans="1:15" x14ac:dyDescent="0.2">
      <c r="A19" s="44">
        <v>46140</v>
      </c>
      <c r="B19" s="43">
        <v>39521.730000000003</v>
      </c>
      <c r="C19" s="43">
        <v>288.5</v>
      </c>
      <c r="D19" s="43">
        <v>280</v>
      </c>
      <c r="E19" s="43">
        <v>281.5</v>
      </c>
      <c r="F19" s="5">
        <v>5090</v>
      </c>
      <c r="G19" s="85">
        <v>-1.228070175438597</v>
      </c>
      <c r="H19" s="4">
        <v>280.89999999999998</v>
      </c>
      <c r="I19" s="4">
        <v>281.35000000000002</v>
      </c>
      <c r="J19" s="4">
        <v>261.60000000000002</v>
      </c>
      <c r="K19" s="4">
        <v>60.079430936928347</v>
      </c>
      <c r="L19" s="4">
        <v>63.66873624469887</v>
      </c>
      <c r="M19" s="4">
        <v>61.177945533399402</v>
      </c>
      <c r="N19" s="4">
        <v>69.715522350657039</v>
      </c>
      <c r="O19" s="85">
        <v>1.0588759013828299</v>
      </c>
    </row>
    <row r="20" spans="1:15" x14ac:dyDescent="0.2">
      <c r="A20" s="44">
        <v>46141</v>
      </c>
      <c r="B20" s="43">
        <v>39303.5</v>
      </c>
      <c r="C20" s="43">
        <v>281</v>
      </c>
      <c r="D20" s="43">
        <v>271</v>
      </c>
      <c r="E20" s="43">
        <v>272.5</v>
      </c>
      <c r="F20" s="5">
        <v>7261</v>
      </c>
      <c r="G20" s="85">
        <v>-3.197158081705151</v>
      </c>
      <c r="H20" s="4">
        <v>278.39999999999998</v>
      </c>
      <c r="I20" s="4">
        <v>280.7</v>
      </c>
      <c r="J20" s="4">
        <v>263.82499999999999</v>
      </c>
      <c r="K20" s="4">
        <v>45.281517602445028</v>
      </c>
      <c r="L20" s="4">
        <v>55.629241012234971</v>
      </c>
      <c r="M20" s="4">
        <v>43.166249403218643</v>
      </c>
      <c r="N20" s="4">
        <v>60.865764701510898</v>
      </c>
      <c r="O20" s="85">
        <v>-4.7369004481906167E-2</v>
      </c>
    </row>
    <row r="21" spans="1:15" x14ac:dyDescent="0.2">
      <c r="A21" s="44">
        <v>46142</v>
      </c>
      <c r="B21" s="43">
        <v>38926.629999999997</v>
      </c>
      <c r="C21" s="43">
        <v>280</v>
      </c>
      <c r="D21" s="43">
        <v>271</v>
      </c>
      <c r="E21" s="43">
        <v>273</v>
      </c>
      <c r="F21" s="5">
        <v>5636</v>
      </c>
      <c r="G21" s="85">
        <v>0.1834862385321101</v>
      </c>
      <c r="H21" s="4">
        <v>278</v>
      </c>
      <c r="I21" s="4">
        <v>279.89999999999998</v>
      </c>
      <c r="J21" s="4">
        <v>266.35000000000002</v>
      </c>
      <c r="K21" s="4">
        <v>46.165500954546857</v>
      </c>
      <c r="L21" s="4">
        <v>55.966221351402503</v>
      </c>
      <c r="M21" s="4">
        <v>31.95210277674893</v>
      </c>
      <c r="N21" s="4">
        <v>51.227877393256897</v>
      </c>
      <c r="O21" s="85">
        <v>-0.81093931764582905</v>
      </c>
    </row>
  </sheetData>
  <autoFilter ref="A1:O21" xr:uid="{00000000-0009-0000-0000-000016000000}"/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391.5</v>
      </c>
      <c r="D2" s="43">
        <v>382.5</v>
      </c>
      <c r="E2" s="43">
        <v>391.5</v>
      </c>
      <c r="F2" s="5">
        <v>3466</v>
      </c>
      <c r="G2" s="85">
        <v>3.162055335968379</v>
      </c>
      <c r="H2" s="4">
        <v>390.6</v>
      </c>
      <c r="I2" s="4">
        <v>383.1</v>
      </c>
      <c r="J2" s="4">
        <v>382.6</v>
      </c>
      <c r="K2" s="4">
        <v>57.089481708329409</v>
      </c>
      <c r="L2" s="4">
        <v>55.076035250940627</v>
      </c>
      <c r="M2" s="4">
        <v>52.107936941943827</v>
      </c>
      <c r="N2" s="4">
        <v>52.760228805979033</v>
      </c>
      <c r="O2" s="85">
        <v>0.99726085185604729</v>
      </c>
    </row>
    <row r="3" spans="1:15" x14ac:dyDescent="0.2">
      <c r="A3" s="44">
        <v>46114</v>
      </c>
      <c r="B3" s="43">
        <v>32572.43</v>
      </c>
      <c r="C3" s="43">
        <v>396</v>
      </c>
      <c r="D3" s="43">
        <v>382</v>
      </c>
      <c r="E3" s="43">
        <v>382</v>
      </c>
      <c r="F3" s="5">
        <v>2805</v>
      </c>
      <c r="G3" s="85">
        <v>-2.426564495530013</v>
      </c>
      <c r="H3" s="4">
        <v>388.6</v>
      </c>
      <c r="I3" s="4">
        <v>383.95</v>
      </c>
      <c r="J3" s="4">
        <v>382.97500000000002</v>
      </c>
      <c r="K3" s="4">
        <v>47.07300843834556</v>
      </c>
      <c r="L3" s="4">
        <v>49.37626007372743</v>
      </c>
      <c r="M3" s="4">
        <v>45.697528737551593</v>
      </c>
      <c r="N3" s="4">
        <v>50.405995449836553</v>
      </c>
      <c r="O3" s="85">
        <v>0.49273769503189963</v>
      </c>
    </row>
    <row r="4" spans="1:15" x14ac:dyDescent="0.2">
      <c r="A4" s="44">
        <v>46119</v>
      </c>
      <c r="B4" s="43">
        <v>33229.82</v>
      </c>
      <c r="C4" s="43">
        <v>387</v>
      </c>
      <c r="D4" s="43">
        <v>379</v>
      </c>
      <c r="E4" s="43">
        <v>384.5</v>
      </c>
      <c r="F4" s="5">
        <v>1991</v>
      </c>
      <c r="G4" s="85">
        <v>0.65445026178010468</v>
      </c>
      <c r="H4" s="4">
        <v>385.7</v>
      </c>
      <c r="I4" s="4">
        <v>383.9</v>
      </c>
      <c r="J4" s="4">
        <v>383.45</v>
      </c>
      <c r="K4" s="4">
        <v>49.851531829297898</v>
      </c>
      <c r="L4" s="4">
        <v>50.836887302882097</v>
      </c>
      <c r="M4" s="4">
        <v>43.707028290787818</v>
      </c>
      <c r="N4" s="4">
        <v>48.173006396820298</v>
      </c>
      <c r="O4" s="85">
        <v>0.29978564489710552</v>
      </c>
    </row>
    <row r="5" spans="1:15" x14ac:dyDescent="0.2">
      <c r="A5" s="44">
        <v>46120</v>
      </c>
      <c r="B5" s="43">
        <v>34761.379999999997</v>
      </c>
      <c r="C5" s="43">
        <v>393.5</v>
      </c>
      <c r="D5" s="43">
        <v>387.5</v>
      </c>
      <c r="E5" s="43">
        <v>391.5</v>
      </c>
      <c r="F5" s="5">
        <v>2561</v>
      </c>
      <c r="G5" s="85">
        <v>1.8205461638491549</v>
      </c>
      <c r="H5" s="4">
        <v>385.8</v>
      </c>
      <c r="I5" s="4">
        <v>385.85</v>
      </c>
      <c r="J5" s="4">
        <v>384.07499999999999</v>
      </c>
      <c r="K5" s="4">
        <v>57.370913832822929</v>
      </c>
      <c r="L5" s="4">
        <v>54.818781344278591</v>
      </c>
      <c r="M5" s="4">
        <v>47.086736809243163</v>
      </c>
      <c r="N5" s="4">
        <v>47.810916534294577</v>
      </c>
      <c r="O5" s="85">
        <v>0.59873140866039232</v>
      </c>
    </row>
    <row r="6" spans="1:15" x14ac:dyDescent="0.2">
      <c r="A6" s="44">
        <v>46121</v>
      </c>
      <c r="B6" s="43">
        <v>34861.160000000003</v>
      </c>
      <c r="C6" s="43">
        <v>399.5</v>
      </c>
      <c r="D6" s="43">
        <v>390.5</v>
      </c>
      <c r="E6" s="43">
        <v>399.5</v>
      </c>
      <c r="F6" s="5">
        <v>2856</v>
      </c>
      <c r="G6" s="85">
        <v>2.043422733077906</v>
      </c>
      <c r="H6" s="4">
        <v>389.8</v>
      </c>
      <c r="I6" s="4">
        <v>388.8</v>
      </c>
      <c r="J6" s="4">
        <v>384.82499999999999</v>
      </c>
      <c r="K6" s="4">
        <v>64.641806563348027</v>
      </c>
      <c r="L6" s="4">
        <v>58.962686070047177</v>
      </c>
      <c r="M6" s="4">
        <v>57.074217982118391</v>
      </c>
      <c r="N6" s="4">
        <v>50.898683683569189</v>
      </c>
      <c r="O6" s="85">
        <v>1.2527709954361801</v>
      </c>
    </row>
    <row r="7" spans="1:15" x14ac:dyDescent="0.2">
      <c r="A7" s="44">
        <v>46122</v>
      </c>
      <c r="B7" s="43">
        <v>35417.83</v>
      </c>
      <c r="C7" s="43">
        <v>401.5</v>
      </c>
      <c r="D7" s="43">
        <v>393.5</v>
      </c>
      <c r="E7" s="43">
        <v>394</v>
      </c>
      <c r="F7" s="5">
        <v>2766</v>
      </c>
      <c r="G7" s="85">
        <v>-1.3767209011264081</v>
      </c>
      <c r="H7" s="4">
        <v>390.3</v>
      </c>
      <c r="I7" s="4">
        <v>390.45</v>
      </c>
      <c r="J7" s="4">
        <v>385.1</v>
      </c>
      <c r="K7" s="4">
        <v>56.6678736094699</v>
      </c>
      <c r="L7" s="4">
        <v>55.167799936976742</v>
      </c>
      <c r="M7" s="4">
        <v>56.231296836563772</v>
      </c>
      <c r="N7" s="4">
        <v>52.676221401234052</v>
      </c>
      <c r="O7" s="85">
        <v>1.230696895231199</v>
      </c>
    </row>
    <row r="8" spans="1:15" x14ac:dyDescent="0.2">
      <c r="A8" s="44">
        <v>46125</v>
      </c>
      <c r="B8" s="43">
        <v>35457.29</v>
      </c>
      <c r="C8" s="43">
        <v>395</v>
      </c>
      <c r="D8" s="43">
        <v>385</v>
      </c>
      <c r="E8" s="43">
        <v>394.5</v>
      </c>
      <c r="F8" s="5">
        <v>2322</v>
      </c>
      <c r="G8" s="85">
        <v>0.12690355329949241</v>
      </c>
      <c r="H8" s="4">
        <v>392.8</v>
      </c>
      <c r="I8" s="4">
        <v>390.7</v>
      </c>
      <c r="J8" s="4">
        <v>385.35</v>
      </c>
      <c r="K8" s="4">
        <v>57.243250397813078</v>
      </c>
      <c r="L8" s="4">
        <v>55.452144004918424</v>
      </c>
      <c r="M8" s="4">
        <v>56.62333369351164</v>
      </c>
      <c r="N8" s="4">
        <v>53.99192549865991</v>
      </c>
      <c r="O8" s="85">
        <v>1.166105971071256</v>
      </c>
    </row>
    <row r="9" spans="1:15" x14ac:dyDescent="0.2">
      <c r="A9" s="44">
        <v>46126</v>
      </c>
      <c r="B9" s="43">
        <v>36296.120000000003</v>
      </c>
      <c r="C9" s="43">
        <v>399.5</v>
      </c>
      <c r="D9" s="43">
        <v>394</v>
      </c>
      <c r="E9" s="43">
        <v>398.5</v>
      </c>
      <c r="F9" s="5">
        <v>2721</v>
      </c>
      <c r="G9" s="85">
        <v>1.013941698352345</v>
      </c>
      <c r="H9" s="4">
        <v>395.6</v>
      </c>
      <c r="I9" s="4">
        <v>390.65</v>
      </c>
      <c r="J9" s="4">
        <v>385.875</v>
      </c>
      <c r="K9" s="4">
        <v>62.07731695686887</v>
      </c>
      <c r="L9" s="4">
        <v>57.788624566151718</v>
      </c>
      <c r="M9" s="4">
        <v>66.63777801789665</v>
      </c>
      <c r="N9" s="4">
        <v>58.207209671738823</v>
      </c>
      <c r="O9" s="85">
        <v>1.2989563202947429</v>
      </c>
    </row>
    <row r="10" spans="1:15" x14ac:dyDescent="0.2">
      <c r="A10" s="44">
        <v>46127</v>
      </c>
      <c r="B10" s="43">
        <v>36722.14</v>
      </c>
      <c r="C10" s="43">
        <v>410</v>
      </c>
      <c r="D10" s="43">
        <v>401</v>
      </c>
      <c r="E10" s="43">
        <v>405</v>
      </c>
      <c r="F10" s="5">
        <v>4513</v>
      </c>
      <c r="G10" s="85">
        <v>1.6311166875784191</v>
      </c>
      <c r="H10" s="4">
        <v>398.3</v>
      </c>
      <c r="I10" s="4">
        <v>392.05</v>
      </c>
      <c r="J10" s="4">
        <v>387.2</v>
      </c>
      <c r="K10" s="4">
        <v>68.927714217503322</v>
      </c>
      <c r="L10" s="4">
        <v>61.379460991619489</v>
      </c>
      <c r="M10" s="4">
        <v>72.382174592576263</v>
      </c>
      <c r="N10" s="4">
        <v>62.932197978684627</v>
      </c>
      <c r="O10" s="85">
        <v>1.7051783751092049</v>
      </c>
    </row>
    <row r="11" spans="1:15" x14ac:dyDescent="0.2">
      <c r="A11" s="44">
        <v>46128</v>
      </c>
      <c r="B11" s="43">
        <v>37132.019999999997</v>
      </c>
      <c r="C11" s="43">
        <v>414</v>
      </c>
      <c r="D11" s="43">
        <v>406.5</v>
      </c>
      <c r="E11" s="43">
        <v>412</v>
      </c>
      <c r="F11" s="5">
        <v>4105</v>
      </c>
      <c r="G11" s="85">
        <v>1.728395061728395</v>
      </c>
      <c r="H11" s="4">
        <v>400.8</v>
      </c>
      <c r="I11" s="4">
        <v>395.3</v>
      </c>
      <c r="J11" s="4">
        <v>388.75</v>
      </c>
      <c r="K11" s="4">
        <v>74.808514256260665</v>
      </c>
      <c r="L11" s="4">
        <v>64.888504039682516</v>
      </c>
      <c r="M11" s="4">
        <v>79.683354490288934</v>
      </c>
      <c r="N11" s="4">
        <v>68.515916815886058</v>
      </c>
      <c r="O11" s="85">
        <v>2.2894720730042581</v>
      </c>
    </row>
    <row r="12" spans="1:15" x14ac:dyDescent="0.2">
      <c r="A12" s="44">
        <v>46129</v>
      </c>
      <c r="B12" s="43">
        <v>36804.339999999997</v>
      </c>
      <c r="C12" s="43">
        <v>415</v>
      </c>
      <c r="D12" s="43">
        <v>408.5</v>
      </c>
      <c r="E12" s="43">
        <v>415</v>
      </c>
      <c r="F12" s="5">
        <v>3081</v>
      </c>
      <c r="G12" s="85">
        <v>0.72815533980582525</v>
      </c>
      <c r="H12" s="4">
        <v>405</v>
      </c>
      <c r="I12" s="4">
        <v>397.65</v>
      </c>
      <c r="J12" s="4">
        <v>390.375</v>
      </c>
      <c r="K12" s="4">
        <v>77.043024460343247</v>
      </c>
      <c r="L12" s="4">
        <v>66.3192543178736</v>
      </c>
      <c r="M12" s="4">
        <v>86.455569660192623</v>
      </c>
      <c r="N12" s="4">
        <v>74.495801097321575</v>
      </c>
      <c r="O12" s="85">
        <v>2.6942591605805628</v>
      </c>
    </row>
    <row r="13" spans="1:15" x14ac:dyDescent="0.2">
      <c r="A13" s="44">
        <v>46132</v>
      </c>
      <c r="B13" s="43">
        <v>36958.800000000003</v>
      </c>
      <c r="C13" s="43">
        <v>421</v>
      </c>
      <c r="D13" s="43">
        <v>409</v>
      </c>
      <c r="E13" s="43">
        <v>415</v>
      </c>
      <c r="F13" s="5">
        <v>6356</v>
      </c>
      <c r="G13" s="85">
        <v>0</v>
      </c>
      <c r="H13" s="4">
        <v>409.1</v>
      </c>
      <c r="I13" s="4">
        <v>400.95</v>
      </c>
      <c r="J13" s="4">
        <v>392.45</v>
      </c>
      <c r="K13" s="4">
        <v>77.043024460343247</v>
      </c>
      <c r="L13" s="4">
        <v>66.3192543178736</v>
      </c>
      <c r="M13" s="4">
        <v>85.414824217906187</v>
      </c>
      <c r="N13" s="4">
        <v>78.135475470849769</v>
      </c>
      <c r="O13" s="85">
        <v>2.767721621347679</v>
      </c>
    </row>
    <row r="14" spans="1:15" x14ac:dyDescent="0.2">
      <c r="A14" s="44">
        <v>46133</v>
      </c>
      <c r="B14" s="43">
        <v>37605.11</v>
      </c>
      <c r="C14" s="43">
        <v>417.5</v>
      </c>
      <c r="D14" s="43">
        <v>411</v>
      </c>
      <c r="E14" s="43">
        <v>415.5</v>
      </c>
      <c r="F14" s="5">
        <v>4169</v>
      </c>
      <c r="G14" s="85">
        <v>0.1204819277108434</v>
      </c>
      <c r="H14" s="4">
        <v>412.5</v>
      </c>
      <c r="I14" s="4">
        <v>404.05</v>
      </c>
      <c r="J14" s="4">
        <v>393.97500000000002</v>
      </c>
      <c r="K14" s="4">
        <v>77.521551123493964</v>
      </c>
      <c r="L14" s="4">
        <v>66.589293038840111</v>
      </c>
      <c r="M14" s="4">
        <v>85.183956886011529</v>
      </c>
      <c r="N14" s="4">
        <v>80.484969275903694</v>
      </c>
      <c r="O14" s="85">
        <v>2.655265835752382</v>
      </c>
    </row>
    <row r="15" spans="1:15" x14ac:dyDescent="0.2">
      <c r="A15" s="44">
        <v>46134</v>
      </c>
      <c r="B15" s="43">
        <v>37878.47</v>
      </c>
      <c r="C15" s="43">
        <v>434.5</v>
      </c>
      <c r="D15" s="43">
        <v>416</v>
      </c>
      <c r="E15" s="43">
        <v>432.5</v>
      </c>
      <c r="F15" s="5">
        <v>7962</v>
      </c>
      <c r="G15" s="85">
        <v>4.0914560770156454</v>
      </c>
      <c r="H15" s="4">
        <v>418</v>
      </c>
      <c r="I15" s="4">
        <v>408.15</v>
      </c>
      <c r="J15" s="4">
        <v>397</v>
      </c>
      <c r="K15" s="4">
        <v>87.852478509806758</v>
      </c>
      <c r="L15" s="4">
        <v>74.247555986157707</v>
      </c>
      <c r="M15" s="4">
        <v>88.775836577206334</v>
      </c>
      <c r="N15" s="4">
        <v>83.248591709671231</v>
      </c>
      <c r="O15" s="85">
        <v>3.4791147783241119</v>
      </c>
    </row>
    <row r="16" spans="1:15" x14ac:dyDescent="0.2">
      <c r="A16" s="44">
        <v>46135</v>
      </c>
      <c r="B16" s="43">
        <v>37714.15</v>
      </c>
      <c r="C16" s="43">
        <v>438</v>
      </c>
      <c r="D16" s="43">
        <v>406</v>
      </c>
      <c r="E16" s="43">
        <v>406</v>
      </c>
      <c r="F16" s="5">
        <v>9617</v>
      </c>
      <c r="G16" s="85">
        <v>-6.1271676300578033</v>
      </c>
      <c r="H16" s="4">
        <v>416.8</v>
      </c>
      <c r="I16" s="4">
        <v>408.8</v>
      </c>
      <c r="J16" s="4">
        <v>398.8</v>
      </c>
      <c r="K16" s="4">
        <v>47.239921429661962</v>
      </c>
      <c r="L16" s="4">
        <v>53.423598798409309</v>
      </c>
      <c r="M16" s="4">
        <v>72.391438221282215</v>
      </c>
      <c r="N16" s="4">
        <v>79.629540546874892</v>
      </c>
      <c r="O16" s="85">
        <v>2.0626358799578108</v>
      </c>
    </row>
    <row r="17" spans="1:15" x14ac:dyDescent="0.2">
      <c r="A17" s="44">
        <v>46136</v>
      </c>
      <c r="B17" s="43">
        <v>38932.400000000001</v>
      </c>
      <c r="C17" s="43">
        <v>428</v>
      </c>
      <c r="D17" s="43">
        <v>411.5</v>
      </c>
      <c r="E17" s="43">
        <v>418</v>
      </c>
      <c r="F17" s="5">
        <v>6595</v>
      </c>
      <c r="G17" s="85">
        <v>2.9556650246305418</v>
      </c>
      <c r="H17" s="4">
        <v>417.4</v>
      </c>
      <c r="I17" s="4">
        <v>411.2</v>
      </c>
      <c r="J17" s="4">
        <v>400.82499999999999</v>
      </c>
      <c r="K17" s="4">
        <v>57.832482339860398</v>
      </c>
      <c r="L17" s="4">
        <v>59.091457780704218</v>
      </c>
      <c r="M17" s="4">
        <v>66.44277699600633</v>
      </c>
      <c r="N17" s="4">
        <v>75.233952696585362</v>
      </c>
      <c r="O17" s="85">
        <v>1.768495950308375</v>
      </c>
    </row>
    <row r="18" spans="1:15" x14ac:dyDescent="0.2">
      <c r="A18" s="44">
        <v>46139</v>
      </c>
      <c r="B18" s="43">
        <v>39616.629999999997</v>
      </c>
      <c r="C18" s="43">
        <v>422.5</v>
      </c>
      <c r="D18" s="43">
        <v>412</v>
      </c>
      <c r="E18" s="43">
        <v>416.5</v>
      </c>
      <c r="F18" s="5">
        <v>3445</v>
      </c>
      <c r="G18" s="85">
        <v>-0.35885167464114831</v>
      </c>
      <c r="H18" s="4">
        <v>417.7</v>
      </c>
      <c r="I18" s="4">
        <v>413.4</v>
      </c>
      <c r="J18" s="4">
        <v>402.05</v>
      </c>
      <c r="K18" s="4">
        <v>56.141758006048413</v>
      </c>
      <c r="L18" s="4">
        <v>58.126898701182853</v>
      </c>
      <c r="M18" s="4">
        <v>58.25914862796818</v>
      </c>
      <c r="N18" s="4">
        <v>69.575684673712971</v>
      </c>
      <c r="O18" s="85">
        <v>1.3276664225478809</v>
      </c>
    </row>
    <row r="19" spans="1:15" x14ac:dyDescent="0.2">
      <c r="A19" s="44">
        <v>46140</v>
      </c>
      <c r="B19" s="43">
        <v>39521.730000000003</v>
      </c>
      <c r="C19" s="43">
        <v>420</v>
      </c>
      <c r="D19" s="43">
        <v>410</v>
      </c>
      <c r="E19" s="43">
        <v>412.5</v>
      </c>
      <c r="F19" s="5">
        <v>3363</v>
      </c>
      <c r="G19" s="85">
        <v>-0.96038415366146457</v>
      </c>
      <c r="H19" s="4">
        <v>417.1</v>
      </c>
      <c r="I19" s="4">
        <v>414.8</v>
      </c>
      <c r="J19" s="4">
        <v>402.72500000000002</v>
      </c>
      <c r="K19" s="4">
        <v>51.3389226557331</v>
      </c>
      <c r="L19" s="4">
        <v>55.491838531785177</v>
      </c>
      <c r="M19" s="4">
        <v>45.610265751978787</v>
      </c>
      <c r="N19" s="4">
        <v>61.587211699801571</v>
      </c>
      <c r="O19" s="85">
        <v>0.65543352894212781</v>
      </c>
    </row>
    <row r="20" spans="1:15" x14ac:dyDescent="0.2">
      <c r="A20" s="44">
        <v>46141</v>
      </c>
      <c r="B20" s="43">
        <v>39303.5</v>
      </c>
      <c r="C20" s="43">
        <v>416</v>
      </c>
      <c r="D20" s="43">
        <v>406.5</v>
      </c>
      <c r="E20" s="43">
        <v>408.5</v>
      </c>
      <c r="F20" s="5">
        <v>2555</v>
      </c>
      <c r="G20" s="85">
        <v>-0.96969696969696972</v>
      </c>
      <c r="H20" s="4">
        <v>412.3</v>
      </c>
      <c r="I20" s="4">
        <v>415.15</v>
      </c>
      <c r="J20" s="4">
        <v>403.6</v>
      </c>
      <c r="K20" s="4">
        <v>46.559242431088052</v>
      </c>
      <c r="L20" s="4">
        <v>52.87686301397234</v>
      </c>
      <c r="M20" s="4">
        <v>33.011010501319191</v>
      </c>
      <c r="N20" s="4">
        <v>52.06181130030744</v>
      </c>
      <c r="O20" s="85">
        <v>-0.12809281784529869</v>
      </c>
    </row>
    <row r="21" spans="1:15" x14ac:dyDescent="0.2">
      <c r="A21" s="44">
        <v>46142</v>
      </c>
      <c r="B21" s="43">
        <v>38926.629999999997</v>
      </c>
      <c r="C21" s="43">
        <v>413</v>
      </c>
      <c r="D21" s="43">
        <v>407</v>
      </c>
      <c r="E21" s="43">
        <v>409</v>
      </c>
      <c r="F21" s="5">
        <v>2586</v>
      </c>
      <c r="G21" s="85">
        <v>0.12239902080783351</v>
      </c>
      <c r="H21" s="4">
        <v>412.9</v>
      </c>
      <c r="I21" s="4">
        <v>414.85</v>
      </c>
      <c r="J21" s="4">
        <v>405.07499999999999</v>
      </c>
      <c r="K21" s="4">
        <v>47.295268096777363</v>
      </c>
      <c r="L21" s="4">
        <v>53.177740336935763</v>
      </c>
      <c r="M21" s="4">
        <v>25.132340334212788</v>
      </c>
      <c r="N21" s="4">
        <v>43.085320978275888</v>
      </c>
      <c r="O21" s="85">
        <v>-0.6528305625381563</v>
      </c>
    </row>
  </sheetData>
  <autoFilter ref="A1:O21" xr:uid="{00000000-0009-0000-0000-000017000000}"/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1855</v>
      </c>
      <c r="D2" s="43">
        <v>1830</v>
      </c>
      <c r="E2" s="43">
        <v>1855</v>
      </c>
      <c r="F2" s="5">
        <v>46457</v>
      </c>
      <c r="G2" s="85">
        <v>5.3977272727272716</v>
      </c>
      <c r="H2" s="4">
        <v>1811</v>
      </c>
      <c r="I2" s="4">
        <v>1821</v>
      </c>
      <c r="J2" s="4">
        <v>1848.5</v>
      </c>
      <c r="K2" s="4">
        <v>57.472792322081709</v>
      </c>
      <c r="L2" s="4">
        <v>52.241501469878223</v>
      </c>
      <c r="M2" s="4">
        <v>37.630243338581757</v>
      </c>
      <c r="N2" s="4">
        <v>29.70102756092454</v>
      </c>
      <c r="O2" s="85">
        <v>-9.9549279134001623</v>
      </c>
    </row>
    <row r="3" spans="1:15" x14ac:dyDescent="0.2">
      <c r="A3" s="44">
        <v>46114</v>
      </c>
      <c r="B3" s="43">
        <v>32572.43</v>
      </c>
      <c r="C3" s="43">
        <v>1865</v>
      </c>
      <c r="D3" s="43">
        <v>1805</v>
      </c>
      <c r="E3" s="43">
        <v>1810</v>
      </c>
      <c r="F3" s="5">
        <v>29332</v>
      </c>
      <c r="G3" s="85">
        <v>-2.4258760107816708</v>
      </c>
      <c r="H3" s="4">
        <v>1805</v>
      </c>
      <c r="I3" s="4">
        <v>1817</v>
      </c>
      <c r="J3" s="4">
        <v>1844</v>
      </c>
      <c r="K3" s="4">
        <v>46.368923825782431</v>
      </c>
      <c r="L3" s="4">
        <v>46.781846969922853</v>
      </c>
      <c r="M3" s="4">
        <v>39.579582515576249</v>
      </c>
      <c r="N3" s="4">
        <v>32.993879212475107</v>
      </c>
      <c r="O3" s="85">
        <v>-8.7298207928470966</v>
      </c>
    </row>
    <row r="4" spans="1:15" x14ac:dyDescent="0.2">
      <c r="A4" s="44">
        <v>46119</v>
      </c>
      <c r="B4" s="43">
        <v>33229.82</v>
      </c>
      <c r="C4" s="43">
        <v>1860</v>
      </c>
      <c r="D4" s="43">
        <v>1835</v>
      </c>
      <c r="E4" s="43">
        <v>1860</v>
      </c>
      <c r="F4" s="5">
        <v>19895</v>
      </c>
      <c r="G4" s="85">
        <v>2.7624309392265189</v>
      </c>
      <c r="H4" s="4">
        <v>1813</v>
      </c>
      <c r="I4" s="4">
        <v>1819</v>
      </c>
      <c r="J4" s="4">
        <v>1842.5</v>
      </c>
      <c r="K4" s="4">
        <v>57.354522514187977</v>
      </c>
      <c r="L4" s="4">
        <v>52.765359143436562</v>
      </c>
      <c r="M4" s="4">
        <v>55.371895590094312</v>
      </c>
      <c r="N4" s="4">
        <v>40.45321800501484</v>
      </c>
      <c r="O4" s="85">
        <v>-4.3169787291734476</v>
      </c>
    </row>
    <row r="5" spans="1:15" x14ac:dyDescent="0.2">
      <c r="A5" s="44">
        <v>46120</v>
      </c>
      <c r="B5" s="43">
        <v>34761.379999999997</v>
      </c>
      <c r="C5" s="43">
        <v>1950</v>
      </c>
      <c r="D5" s="43">
        <v>1925</v>
      </c>
      <c r="E5" s="43">
        <v>1950</v>
      </c>
      <c r="F5" s="5">
        <v>53813</v>
      </c>
      <c r="G5" s="85">
        <v>4.838709677419355</v>
      </c>
      <c r="H5" s="4">
        <v>1847</v>
      </c>
      <c r="I5" s="4">
        <v>1833</v>
      </c>
      <c r="J5" s="4">
        <v>1849.5</v>
      </c>
      <c r="K5" s="4">
        <v>70.435318537410765</v>
      </c>
      <c r="L5" s="4">
        <v>61.307782119264608</v>
      </c>
      <c r="M5" s="4">
        <v>70.247930393396203</v>
      </c>
      <c r="N5" s="4">
        <v>50.384788801141958</v>
      </c>
      <c r="O5" s="85">
        <v>4.4250911877715291</v>
      </c>
    </row>
    <row r="6" spans="1:15" x14ac:dyDescent="0.2">
      <c r="A6" s="44">
        <v>46121</v>
      </c>
      <c r="B6" s="43">
        <v>34861.160000000003</v>
      </c>
      <c r="C6" s="43">
        <v>1955</v>
      </c>
      <c r="D6" s="43">
        <v>1930</v>
      </c>
      <c r="E6" s="43">
        <v>1955</v>
      </c>
      <c r="F6" s="5">
        <v>36054</v>
      </c>
      <c r="G6" s="85">
        <v>0.25641025641025639</v>
      </c>
      <c r="H6" s="4">
        <v>1886</v>
      </c>
      <c r="I6" s="4">
        <v>1847.5</v>
      </c>
      <c r="J6" s="4">
        <v>1854.75</v>
      </c>
      <c r="K6" s="4">
        <v>71.027768771879778</v>
      </c>
      <c r="L6" s="4">
        <v>61.727276242002432</v>
      </c>
      <c r="M6" s="4">
        <v>80.165286928930797</v>
      </c>
      <c r="N6" s="4">
        <v>60.311621510404898</v>
      </c>
      <c r="O6" s="85">
        <v>9.987776399011933</v>
      </c>
    </row>
    <row r="7" spans="1:15" x14ac:dyDescent="0.2">
      <c r="A7" s="44">
        <v>46122</v>
      </c>
      <c r="B7" s="43">
        <v>35417.83</v>
      </c>
      <c r="C7" s="43">
        <v>2000</v>
      </c>
      <c r="D7" s="43">
        <v>1970</v>
      </c>
      <c r="E7" s="43">
        <v>2000</v>
      </c>
      <c r="F7" s="5">
        <v>39096</v>
      </c>
      <c r="G7" s="85">
        <v>2.3017902813299229</v>
      </c>
      <c r="H7" s="4">
        <v>1915</v>
      </c>
      <c r="I7" s="4">
        <v>1863</v>
      </c>
      <c r="J7" s="4">
        <v>1857.75</v>
      </c>
      <c r="K7" s="4">
        <v>76.182427552985743</v>
      </c>
      <c r="L7" s="4">
        <v>65.409346669518285</v>
      </c>
      <c r="M7" s="4">
        <v>86.776857952620531</v>
      </c>
      <c r="N7" s="4">
        <v>69.133366991143447</v>
      </c>
      <c r="O7" s="85">
        <v>15.79602211093321</v>
      </c>
    </row>
    <row r="8" spans="1:15" x14ac:dyDescent="0.2">
      <c r="A8" s="44">
        <v>46125</v>
      </c>
      <c r="B8" s="43">
        <v>35457.29</v>
      </c>
      <c r="C8" s="43">
        <v>1995</v>
      </c>
      <c r="D8" s="43">
        <v>1975</v>
      </c>
      <c r="E8" s="43">
        <v>1990</v>
      </c>
      <c r="F8" s="5">
        <v>31882</v>
      </c>
      <c r="G8" s="85">
        <v>-0.5</v>
      </c>
      <c r="H8" s="4">
        <v>1951</v>
      </c>
      <c r="I8" s="4">
        <v>1878</v>
      </c>
      <c r="J8" s="4">
        <v>1863</v>
      </c>
      <c r="K8" s="4">
        <v>72.731701678982063</v>
      </c>
      <c r="L8" s="4">
        <v>63.918592708512527</v>
      </c>
      <c r="M8" s="4">
        <v>89.795683079524792</v>
      </c>
      <c r="N8" s="4">
        <v>76.020805687270553</v>
      </c>
      <c r="O8" s="85">
        <v>17.90772870992468</v>
      </c>
    </row>
    <row r="9" spans="1:15" x14ac:dyDescent="0.2">
      <c r="A9" s="44">
        <v>46126</v>
      </c>
      <c r="B9" s="43">
        <v>36296.120000000003</v>
      </c>
      <c r="C9" s="43">
        <v>2055</v>
      </c>
      <c r="D9" s="43">
        <v>2010</v>
      </c>
      <c r="E9" s="43">
        <v>2055</v>
      </c>
      <c r="F9" s="5">
        <v>46188</v>
      </c>
      <c r="G9" s="85">
        <v>3.266331658291457</v>
      </c>
      <c r="H9" s="4">
        <v>1990</v>
      </c>
      <c r="I9" s="4">
        <v>1901.5</v>
      </c>
      <c r="J9" s="4">
        <v>1872.5</v>
      </c>
      <c r="K9" s="4">
        <v>79.850594962293144</v>
      </c>
      <c r="L9" s="4">
        <v>68.93844831832719</v>
      </c>
      <c r="M9" s="4">
        <v>93.197122053016528</v>
      </c>
      <c r="N9" s="4">
        <v>81.746244475852535</v>
      </c>
      <c r="O9" s="85">
        <v>22.337326507679819</v>
      </c>
    </row>
    <row r="10" spans="1:15" x14ac:dyDescent="0.2">
      <c r="A10" s="44">
        <v>46127</v>
      </c>
      <c r="B10" s="43">
        <v>36722.14</v>
      </c>
      <c r="C10" s="43">
        <v>2100</v>
      </c>
      <c r="D10" s="43">
        <v>2060</v>
      </c>
      <c r="E10" s="43">
        <v>2080</v>
      </c>
      <c r="F10" s="5">
        <v>46824</v>
      </c>
      <c r="G10" s="85">
        <v>1.21654501216545</v>
      </c>
      <c r="H10" s="4">
        <v>2016</v>
      </c>
      <c r="I10" s="4">
        <v>1931.5</v>
      </c>
      <c r="J10" s="4">
        <v>1884.25</v>
      </c>
      <c r="K10" s="4">
        <v>82.017377698727699</v>
      </c>
      <c r="L10" s="4">
        <v>70.651643171258485</v>
      </c>
      <c r="M10" s="4">
        <v>93.204861029694626</v>
      </c>
      <c r="N10" s="4">
        <v>85.565783327133232</v>
      </c>
      <c r="O10" s="85">
        <v>25.383908929489571</v>
      </c>
    </row>
    <row r="11" spans="1:15" x14ac:dyDescent="0.2">
      <c r="A11" s="44">
        <v>46128</v>
      </c>
      <c r="B11" s="43">
        <v>37132.019999999997</v>
      </c>
      <c r="C11" s="43">
        <v>2090</v>
      </c>
      <c r="D11" s="43">
        <v>2055</v>
      </c>
      <c r="E11" s="43">
        <v>2085</v>
      </c>
      <c r="F11" s="5">
        <v>35974</v>
      </c>
      <c r="G11" s="85">
        <v>0.24038461538461539</v>
      </c>
      <c r="H11" s="4">
        <v>2042</v>
      </c>
      <c r="I11" s="4">
        <v>1964</v>
      </c>
      <c r="J11" s="4">
        <v>1895</v>
      </c>
      <c r="K11" s="4">
        <v>82.469807360524726</v>
      </c>
      <c r="L11" s="4">
        <v>71.000615467497838</v>
      </c>
      <c r="M11" s="4">
        <v>93.774992098892454</v>
      </c>
      <c r="N11" s="4">
        <v>88.302186251052973</v>
      </c>
      <c r="O11" s="85">
        <v>26.069728882886789</v>
      </c>
    </row>
    <row r="12" spans="1:15" x14ac:dyDescent="0.2">
      <c r="A12" s="44">
        <v>46129</v>
      </c>
      <c r="B12" s="43">
        <v>36804.339999999997</v>
      </c>
      <c r="C12" s="43">
        <v>2060</v>
      </c>
      <c r="D12" s="43">
        <v>2030</v>
      </c>
      <c r="E12" s="43">
        <v>2030</v>
      </c>
      <c r="F12" s="5">
        <v>44433</v>
      </c>
      <c r="G12" s="85">
        <v>-2.637889688249401</v>
      </c>
      <c r="H12" s="4">
        <v>2048</v>
      </c>
      <c r="I12" s="4">
        <v>1981.5</v>
      </c>
      <c r="J12" s="4">
        <v>1901.25</v>
      </c>
      <c r="K12" s="4">
        <v>61.909511643717288</v>
      </c>
      <c r="L12" s="4">
        <v>62.134717400150222</v>
      </c>
      <c r="M12" s="4">
        <v>87.044963286054085</v>
      </c>
      <c r="N12" s="4">
        <v>87.883111929386672</v>
      </c>
      <c r="O12" s="85">
        <v>21.35143882688342</v>
      </c>
    </row>
    <row r="13" spans="1:15" x14ac:dyDescent="0.2">
      <c r="A13" s="44">
        <v>46132</v>
      </c>
      <c r="B13" s="43">
        <v>36958.800000000003</v>
      </c>
      <c r="C13" s="43">
        <v>2055</v>
      </c>
      <c r="D13" s="43">
        <v>2025</v>
      </c>
      <c r="E13" s="43">
        <v>2025</v>
      </c>
      <c r="F13" s="5">
        <v>30566</v>
      </c>
      <c r="G13" s="85">
        <v>-0.2463054187192118</v>
      </c>
      <c r="H13" s="4">
        <v>2055</v>
      </c>
      <c r="I13" s="4">
        <v>2003</v>
      </c>
      <c r="J13" s="4">
        <v>1910</v>
      </c>
      <c r="K13" s="4">
        <v>60.270332112968987</v>
      </c>
      <c r="L13" s="4">
        <v>61.374661376679128</v>
      </c>
      <c r="M13" s="4">
        <v>77.077594571655098</v>
      </c>
      <c r="N13" s="4">
        <v>84.281272810142809</v>
      </c>
      <c r="O13" s="85">
        <v>16.63551681618139</v>
      </c>
    </row>
    <row r="14" spans="1:15" x14ac:dyDescent="0.2">
      <c r="A14" s="44">
        <v>46133</v>
      </c>
      <c r="B14" s="43">
        <v>37605.11</v>
      </c>
      <c r="C14" s="43">
        <v>2075</v>
      </c>
      <c r="D14" s="43">
        <v>2045</v>
      </c>
      <c r="E14" s="43">
        <v>2050</v>
      </c>
      <c r="F14" s="5">
        <v>28055</v>
      </c>
      <c r="G14" s="85">
        <v>1.2345679012345681</v>
      </c>
      <c r="H14" s="4">
        <v>2054</v>
      </c>
      <c r="I14" s="4">
        <v>2022</v>
      </c>
      <c r="J14" s="4">
        <v>1920.5</v>
      </c>
      <c r="K14" s="4">
        <v>65.716657146885296</v>
      </c>
      <c r="L14" s="4">
        <v>63.790627506795268</v>
      </c>
      <c r="M14" s="4">
        <v>74.914474812475945</v>
      </c>
      <c r="N14" s="4">
        <v>81.159006810920516</v>
      </c>
      <c r="O14" s="85">
        <v>14.04490968157706</v>
      </c>
    </row>
    <row r="15" spans="1:15" x14ac:dyDescent="0.2">
      <c r="A15" s="44">
        <v>46134</v>
      </c>
      <c r="B15" s="43">
        <v>37878.47</v>
      </c>
      <c r="C15" s="43">
        <v>2070</v>
      </c>
      <c r="D15" s="43">
        <v>2040</v>
      </c>
      <c r="E15" s="43">
        <v>2050</v>
      </c>
      <c r="F15" s="5">
        <v>27457</v>
      </c>
      <c r="G15" s="85">
        <v>0</v>
      </c>
      <c r="H15" s="4">
        <v>2048</v>
      </c>
      <c r="I15" s="4">
        <v>2032</v>
      </c>
      <c r="J15" s="4">
        <v>1932.5</v>
      </c>
      <c r="K15" s="4">
        <v>65.716657146885296</v>
      </c>
      <c r="L15" s="4">
        <v>63.790627506795282</v>
      </c>
      <c r="M15" s="4">
        <v>70.455803721137812</v>
      </c>
      <c r="N15" s="4">
        <v>77.591272447659605</v>
      </c>
      <c r="O15" s="85">
        <v>11.294759858292091</v>
      </c>
    </row>
    <row r="16" spans="1:15" x14ac:dyDescent="0.2">
      <c r="A16" s="44">
        <v>46135</v>
      </c>
      <c r="B16" s="43">
        <v>37714.15</v>
      </c>
      <c r="C16" s="43">
        <v>2135</v>
      </c>
      <c r="D16" s="43">
        <v>2055</v>
      </c>
      <c r="E16" s="43">
        <v>2080</v>
      </c>
      <c r="F16" s="5">
        <v>54918</v>
      </c>
      <c r="G16" s="85">
        <v>1.4634146341463421</v>
      </c>
      <c r="H16" s="4">
        <v>2047</v>
      </c>
      <c r="I16" s="4">
        <v>2044.5</v>
      </c>
      <c r="J16" s="4">
        <v>1946</v>
      </c>
      <c r="K16" s="4">
        <v>72.282450274834986</v>
      </c>
      <c r="L16" s="4">
        <v>66.759832066029063</v>
      </c>
      <c r="M16" s="4">
        <v>68.845535814091875</v>
      </c>
      <c r="N16" s="4">
        <v>74.676026903137029</v>
      </c>
      <c r="O16" s="85">
        <v>10.47756603885864</v>
      </c>
    </row>
    <row r="17" spans="1:15" x14ac:dyDescent="0.2">
      <c r="A17" s="44">
        <v>46136</v>
      </c>
      <c r="B17" s="43">
        <v>38932.400000000001</v>
      </c>
      <c r="C17" s="43">
        <v>2190</v>
      </c>
      <c r="D17" s="43">
        <v>2105</v>
      </c>
      <c r="E17" s="43">
        <v>2185</v>
      </c>
      <c r="F17" s="5">
        <v>52391</v>
      </c>
      <c r="G17" s="85">
        <v>5.0480769230769234</v>
      </c>
      <c r="H17" s="4">
        <v>2078</v>
      </c>
      <c r="I17" s="4">
        <v>2063</v>
      </c>
      <c r="J17" s="4">
        <v>1963</v>
      </c>
      <c r="K17" s="4">
        <v>84.638615127167213</v>
      </c>
      <c r="L17" s="4">
        <v>74.685627957388164</v>
      </c>
      <c r="M17" s="4">
        <v>78.304431283468659</v>
      </c>
      <c r="N17" s="4">
        <v>75.885495029914239</v>
      </c>
      <c r="O17" s="85">
        <v>15.677194539350779</v>
      </c>
    </row>
    <row r="18" spans="1:15" x14ac:dyDescent="0.2">
      <c r="A18" s="44">
        <v>46139</v>
      </c>
      <c r="B18" s="43">
        <v>39616.629999999997</v>
      </c>
      <c r="C18" s="43">
        <v>2330</v>
      </c>
      <c r="D18" s="43">
        <v>2265</v>
      </c>
      <c r="E18" s="43">
        <v>2265</v>
      </c>
      <c r="F18" s="5">
        <v>79778</v>
      </c>
      <c r="G18" s="85">
        <v>3.6613272311212821</v>
      </c>
      <c r="H18" s="4">
        <v>2126</v>
      </c>
      <c r="I18" s="4">
        <v>2090.5</v>
      </c>
      <c r="J18" s="4">
        <v>1984.25</v>
      </c>
      <c r="K18" s="4">
        <v>89.086655040069559</v>
      </c>
      <c r="L18" s="4">
        <v>78.87272003035639</v>
      </c>
      <c r="M18" s="4">
        <v>78.432462385700418</v>
      </c>
      <c r="N18" s="4">
        <v>76.734484148509637</v>
      </c>
      <c r="O18" s="85">
        <v>22.744304493811679</v>
      </c>
    </row>
    <row r="19" spans="1:15" x14ac:dyDescent="0.2">
      <c r="A19" s="44">
        <v>46140</v>
      </c>
      <c r="B19" s="43">
        <v>39521.730000000003</v>
      </c>
      <c r="C19" s="43">
        <v>2280</v>
      </c>
      <c r="D19" s="43">
        <v>2215</v>
      </c>
      <c r="E19" s="43">
        <v>2215</v>
      </c>
      <c r="F19" s="5">
        <v>57336</v>
      </c>
      <c r="G19" s="85">
        <v>-2.2075055187637971</v>
      </c>
      <c r="H19" s="4">
        <v>2159</v>
      </c>
      <c r="I19" s="4">
        <v>2106.5</v>
      </c>
      <c r="J19" s="4">
        <v>2004</v>
      </c>
      <c r="K19" s="4">
        <v>73.191636875604928</v>
      </c>
      <c r="L19" s="4">
        <v>70.879288156628931</v>
      </c>
      <c r="M19" s="4">
        <v>73.053335579537986</v>
      </c>
      <c r="N19" s="4">
        <v>75.507434625519082</v>
      </c>
      <c r="O19" s="85">
        <v>22.263310895896481</v>
      </c>
    </row>
    <row r="20" spans="1:15" x14ac:dyDescent="0.2">
      <c r="A20" s="44">
        <v>46141</v>
      </c>
      <c r="B20" s="43">
        <v>39303.5</v>
      </c>
      <c r="C20" s="43">
        <v>2210</v>
      </c>
      <c r="D20" s="43">
        <v>2165</v>
      </c>
      <c r="E20" s="43">
        <v>2180</v>
      </c>
      <c r="F20" s="5">
        <v>49147</v>
      </c>
      <c r="G20" s="85">
        <v>-1.5801354401805869</v>
      </c>
      <c r="H20" s="4">
        <v>2185</v>
      </c>
      <c r="I20" s="4">
        <v>2116.5</v>
      </c>
      <c r="J20" s="4">
        <v>2024</v>
      </c>
      <c r="K20" s="4">
        <v>63.651849614434958</v>
      </c>
      <c r="L20" s="4">
        <v>65.787868704022429</v>
      </c>
      <c r="M20" s="4">
        <v>65.6421144300745</v>
      </c>
      <c r="N20" s="4">
        <v>72.218994560370874</v>
      </c>
      <c r="O20" s="85">
        <v>17.983049069953669</v>
      </c>
    </row>
    <row r="21" spans="1:15" x14ac:dyDescent="0.2">
      <c r="A21" s="44">
        <v>46142</v>
      </c>
      <c r="B21" s="43">
        <v>38926.629999999997</v>
      </c>
      <c r="C21" s="43">
        <v>2215</v>
      </c>
      <c r="D21" s="43">
        <v>2135</v>
      </c>
      <c r="E21" s="43">
        <v>2135</v>
      </c>
      <c r="F21" s="5">
        <v>59584</v>
      </c>
      <c r="G21" s="85">
        <v>-2.0642201834862388</v>
      </c>
      <c r="H21" s="4">
        <v>2196</v>
      </c>
      <c r="I21" s="4">
        <v>2121.5</v>
      </c>
      <c r="J21" s="4">
        <v>2042.75</v>
      </c>
      <c r="K21" s="4">
        <v>52.9948160309334</v>
      </c>
      <c r="L21" s="4">
        <v>59.766309004248797</v>
      </c>
      <c r="M21" s="4">
        <v>55.783267543546927</v>
      </c>
      <c r="N21" s="4">
        <v>66.740418888096229</v>
      </c>
      <c r="O21" s="85">
        <v>10.866694275849261</v>
      </c>
    </row>
  </sheetData>
  <autoFilter ref="A1:O21" xr:uid="{00000000-0009-0000-0000-000018000000}"/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21"/>
  <sheetViews>
    <sheetView workbookViewId="0">
      <pane ySplit="1" topLeftCell="A2" activePane="bottomLeft" state="frozen"/>
      <selection activeCell="H18" sqref="H18"/>
      <selection pane="bottomLeft" activeCell="H18" sqref="H18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86" t="s">
        <v>192</v>
      </c>
      <c r="B1" s="86" t="s">
        <v>193</v>
      </c>
      <c r="C1" s="86" t="s">
        <v>194</v>
      </c>
      <c r="D1" s="86" t="s">
        <v>195</v>
      </c>
      <c r="E1" s="86" t="s">
        <v>196</v>
      </c>
      <c r="F1" s="86" t="s">
        <v>197</v>
      </c>
      <c r="G1" s="86" t="s">
        <v>198</v>
      </c>
      <c r="H1" s="86" t="s">
        <v>77</v>
      </c>
      <c r="I1" s="86" t="s">
        <v>78</v>
      </c>
      <c r="J1" s="86" t="s">
        <v>79</v>
      </c>
      <c r="K1" s="86" t="s">
        <v>80</v>
      </c>
      <c r="L1" s="86" t="s">
        <v>81</v>
      </c>
      <c r="M1" s="86" t="s">
        <v>82</v>
      </c>
      <c r="N1" s="86" t="s">
        <v>83</v>
      </c>
      <c r="O1" s="86" t="s">
        <v>84</v>
      </c>
    </row>
    <row r="2" spans="1:15" x14ac:dyDescent="0.2">
      <c r="A2" s="44">
        <v>46113</v>
      </c>
      <c r="B2" s="43">
        <v>33174.82</v>
      </c>
      <c r="C2" s="43">
        <v>1495</v>
      </c>
      <c r="D2" s="43">
        <v>1450</v>
      </c>
      <c r="E2" s="43">
        <v>1475</v>
      </c>
      <c r="F2" s="5">
        <v>12559</v>
      </c>
      <c r="G2" s="85">
        <v>6.8840579710144931</v>
      </c>
      <c r="H2" s="4">
        <v>1473</v>
      </c>
      <c r="I2" s="4">
        <v>1467</v>
      </c>
      <c r="J2" s="4">
        <v>1412.75</v>
      </c>
      <c r="K2" s="4">
        <v>54.093544971116209</v>
      </c>
      <c r="L2" s="4">
        <v>56.037803216863431</v>
      </c>
      <c r="M2" s="4">
        <v>49.570406088209609</v>
      </c>
      <c r="N2" s="4">
        <v>57.898956502512377</v>
      </c>
      <c r="O2" s="85">
        <v>-6.3505405838594413</v>
      </c>
    </row>
    <row r="3" spans="1:15" x14ac:dyDescent="0.2">
      <c r="A3" s="44">
        <v>46114</v>
      </c>
      <c r="B3" s="43">
        <v>32572.43</v>
      </c>
      <c r="C3" s="43">
        <v>1510</v>
      </c>
      <c r="D3" s="43">
        <v>1420</v>
      </c>
      <c r="E3" s="43">
        <v>1430</v>
      </c>
      <c r="F3" s="5">
        <v>9953</v>
      </c>
      <c r="G3" s="85">
        <v>-3.050847457627119</v>
      </c>
      <c r="H3" s="4">
        <v>1456</v>
      </c>
      <c r="I3" s="4">
        <v>1464.5</v>
      </c>
      <c r="J3" s="4">
        <v>1417.5</v>
      </c>
      <c r="K3" s="4">
        <v>46.821266128625368</v>
      </c>
      <c r="L3" s="4">
        <v>51.911098068569792</v>
      </c>
      <c r="M3" s="4">
        <v>43.880270725473068</v>
      </c>
      <c r="N3" s="4">
        <v>53.226061243499267</v>
      </c>
      <c r="O3" s="85">
        <v>-9.4068995545833616</v>
      </c>
    </row>
    <row r="4" spans="1:15" x14ac:dyDescent="0.2">
      <c r="A4" s="44">
        <v>46119</v>
      </c>
      <c r="B4" s="43">
        <v>33229.82</v>
      </c>
      <c r="C4" s="43">
        <v>1515</v>
      </c>
      <c r="D4" s="43">
        <v>1490</v>
      </c>
      <c r="E4" s="43">
        <v>1515</v>
      </c>
      <c r="F4" s="5">
        <v>11190</v>
      </c>
      <c r="G4" s="85">
        <v>5.9440559440559442</v>
      </c>
      <c r="H4" s="4">
        <v>1457</v>
      </c>
      <c r="I4" s="4">
        <v>1468.5</v>
      </c>
      <c r="J4" s="4">
        <v>1427.25</v>
      </c>
      <c r="K4" s="4">
        <v>59.241525345951651</v>
      </c>
      <c r="L4" s="4">
        <v>58.246956296684999</v>
      </c>
      <c r="M4" s="4">
        <v>54.253513816982043</v>
      </c>
      <c r="N4" s="4">
        <v>53.568545434660187</v>
      </c>
      <c r="O4" s="85">
        <v>-5.9289345385472387</v>
      </c>
    </row>
    <row r="5" spans="1:15" x14ac:dyDescent="0.2">
      <c r="A5" s="44">
        <v>46120</v>
      </c>
      <c r="B5" s="43">
        <v>34761.379999999997</v>
      </c>
      <c r="C5" s="43">
        <v>1665</v>
      </c>
      <c r="D5" s="43">
        <v>1615</v>
      </c>
      <c r="E5" s="43">
        <v>1665</v>
      </c>
      <c r="F5" s="5">
        <v>13400</v>
      </c>
      <c r="G5" s="85">
        <v>9.9009900990099009</v>
      </c>
      <c r="H5" s="4">
        <v>1493</v>
      </c>
      <c r="I5" s="4">
        <v>1494</v>
      </c>
      <c r="J5" s="4">
        <v>1449.5</v>
      </c>
      <c r="K5" s="4">
        <v>72.729346351759872</v>
      </c>
      <c r="L5" s="4">
        <v>66.694608537852702</v>
      </c>
      <c r="M5" s="4">
        <v>69.502342544654681</v>
      </c>
      <c r="N5" s="4">
        <v>58.879811137991688</v>
      </c>
      <c r="O5" s="85">
        <v>5.6239588775543439</v>
      </c>
    </row>
    <row r="6" spans="1:15" x14ac:dyDescent="0.2">
      <c r="A6" s="44">
        <v>46121</v>
      </c>
      <c r="B6" s="43">
        <v>34861.160000000003</v>
      </c>
      <c r="C6" s="43">
        <v>1705</v>
      </c>
      <c r="D6" s="43">
        <v>1635</v>
      </c>
      <c r="E6" s="43">
        <v>1645</v>
      </c>
      <c r="F6" s="5">
        <v>15129</v>
      </c>
      <c r="G6" s="85">
        <v>-1.201201201201201</v>
      </c>
      <c r="H6" s="4">
        <v>1546</v>
      </c>
      <c r="I6" s="4">
        <v>1517</v>
      </c>
      <c r="J6" s="4">
        <v>1467.25</v>
      </c>
      <c r="K6" s="4">
        <v>69.072161592230671</v>
      </c>
      <c r="L6" s="4">
        <v>64.787964924314593</v>
      </c>
      <c r="M6" s="4">
        <v>73.785875421926647</v>
      </c>
      <c r="N6" s="4">
        <v>63.848499232636669</v>
      </c>
      <c r="O6" s="85">
        <v>10.77061822543951</v>
      </c>
    </row>
    <row r="7" spans="1:15" x14ac:dyDescent="0.2">
      <c r="A7" s="44">
        <v>46122</v>
      </c>
      <c r="B7" s="43">
        <v>35417.83</v>
      </c>
      <c r="C7" s="43">
        <v>1750</v>
      </c>
      <c r="D7" s="43">
        <v>1675</v>
      </c>
      <c r="E7" s="43">
        <v>1735</v>
      </c>
      <c r="F7" s="5">
        <v>11557</v>
      </c>
      <c r="G7" s="85">
        <v>5.4711246200607899</v>
      </c>
      <c r="H7" s="4">
        <v>1598</v>
      </c>
      <c r="I7" s="4">
        <v>1535.5</v>
      </c>
      <c r="J7" s="4">
        <v>1484</v>
      </c>
      <c r="K7" s="4">
        <v>75.676831596279698</v>
      </c>
      <c r="L7" s="4">
        <v>69.121445302710271</v>
      </c>
      <c r="M7" s="4">
        <v>81.225215649249805</v>
      </c>
      <c r="N7" s="4">
        <v>69.640738038174376</v>
      </c>
      <c r="O7" s="85">
        <v>18.62757238361252</v>
      </c>
    </row>
    <row r="8" spans="1:15" x14ac:dyDescent="0.2">
      <c r="A8" s="44">
        <v>46125</v>
      </c>
      <c r="B8" s="43">
        <v>35457.29</v>
      </c>
      <c r="C8" s="43">
        <v>1760</v>
      </c>
      <c r="D8" s="43">
        <v>1710</v>
      </c>
      <c r="E8" s="43">
        <v>1740</v>
      </c>
      <c r="F8" s="5">
        <v>7069</v>
      </c>
      <c r="G8" s="85">
        <v>0.28818443804034583</v>
      </c>
      <c r="H8" s="4">
        <v>1660</v>
      </c>
      <c r="I8" s="4">
        <v>1558</v>
      </c>
      <c r="J8" s="4">
        <v>1502.5</v>
      </c>
      <c r="K8" s="4">
        <v>76.018253286930872</v>
      </c>
      <c r="L8" s="4">
        <v>69.350053336060526</v>
      </c>
      <c r="M8" s="4">
        <v>85.795713386419692</v>
      </c>
      <c r="N8" s="4">
        <v>75.025729820922805</v>
      </c>
      <c r="O8" s="85">
        <v>22.304454871830831</v>
      </c>
    </row>
    <row r="9" spans="1:15" x14ac:dyDescent="0.2">
      <c r="A9" s="44">
        <v>46126</v>
      </c>
      <c r="B9" s="43">
        <v>36296.120000000003</v>
      </c>
      <c r="C9" s="43">
        <v>1820</v>
      </c>
      <c r="D9" s="43">
        <v>1750</v>
      </c>
      <c r="E9" s="43">
        <v>1750</v>
      </c>
      <c r="F9" s="5">
        <v>12801</v>
      </c>
      <c r="G9" s="85">
        <v>0.57471264367816088</v>
      </c>
      <c r="H9" s="4">
        <v>1707</v>
      </c>
      <c r="I9" s="4">
        <v>1582</v>
      </c>
      <c r="J9" s="4">
        <v>1520.75</v>
      </c>
      <c r="K9" s="4">
        <v>76.79983306345251</v>
      </c>
      <c r="L9" s="4">
        <v>69.837271758022951</v>
      </c>
      <c r="M9" s="4">
        <v>85.402270462741328</v>
      </c>
      <c r="N9" s="4">
        <v>78.484576701528965</v>
      </c>
      <c r="O9" s="85">
        <v>23.436853117682968</v>
      </c>
    </row>
    <row r="10" spans="1:15" x14ac:dyDescent="0.2">
      <c r="A10" s="44">
        <v>46127</v>
      </c>
      <c r="B10" s="43">
        <v>36722.14</v>
      </c>
      <c r="C10" s="43">
        <v>1835</v>
      </c>
      <c r="D10" s="43">
        <v>1785</v>
      </c>
      <c r="E10" s="43">
        <v>1785</v>
      </c>
      <c r="F10" s="5">
        <v>12877</v>
      </c>
      <c r="G10" s="85">
        <v>2</v>
      </c>
      <c r="H10" s="4">
        <v>1731</v>
      </c>
      <c r="I10" s="4">
        <v>1612</v>
      </c>
      <c r="J10" s="4">
        <v>1542</v>
      </c>
      <c r="K10" s="4">
        <v>79.593136137258966</v>
      </c>
      <c r="L10" s="4">
        <v>71.563232113868381</v>
      </c>
      <c r="M10" s="4">
        <v>86.252116051466089</v>
      </c>
      <c r="N10" s="4">
        <v>81.07375648484134</v>
      </c>
      <c r="O10" s="85">
        <v>24.4570800144228</v>
      </c>
    </row>
    <row r="11" spans="1:15" x14ac:dyDescent="0.2">
      <c r="A11" s="44">
        <v>46128</v>
      </c>
      <c r="B11" s="43">
        <v>37132.019999999997</v>
      </c>
      <c r="C11" s="43">
        <v>1845</v>
      </c>
      <c r="D11" s="43">
        <v>1785</v>
      </c>
      <c r="E11" s="43">
        <v>1845</v>
      </c>
      <c r="F11" s="5">
        <v>13254</v>
      </c>
      <c r="G11" s="85">
        <v>3.3613445378151261</v>
      </c>
      <c r="H11" s="4">
        <v>1771</v>
      </c>
      <c r="I11" s="4">
        <v>1658.5</v>
      </c>
      <c r="J11" s="4">
        <v>1562.25</v>
      </c>
      <c r="K11" s="4">
        <v>83.644155914396009</v>
      </c>
      <c r="L11" s="4">
        <v>74.312138285585334</v>
      </c>
      <c r="M11" s="4">
        <v>90.834744034310717</v>
      </c>
      <c r="N11" s="4">
        <v>84.327419001331123</v>
      </c>
      <c r="O11" s="85">
        <v>26.893217065816771</v>
      </c>
    </row>
    <row r="12" spans="1:15" x14ac:dyDescent="0.2">
      <c r="A12" s="44">
        <v>46129</v>
      </c>
      <c r="B12" s="43">
        <v>36804.339999999997</v>
      </c>
      <c r="C12" s="43">
        <v>1870</v>
      </c>
      <c r="D12" s="43">
        <v>1830</v>
      </c>
      <c r="E12" s="43">
        <v>1840</v>
      </c>
      <c r="F12" s="5">
        <v>10769</v>
      </c>
      <c r="G12" s="85">
        <v>-0.27100271002710019</v>
      </c>
      <c r="H12" s="4">
        <v>1792</v>
      </c>
      <c r="I12" s="4">
        <v>1695</v>
      </c>
      <c r="J12" s="4">
        <v>1581</v>
      </c>
      <c r="K12" s="4">
        <v>82.016034224937442</v>
      </c>
      <c r="L12" s="4">
        <v>73.664776773888576</v>
      </c>
      <c r="M12" s="4">
        <v>91.25825040883872</v>
      </c>
      <c r="N12" s="4">
        <v>86.637696137166984</v>
      </c>
      <c r="O12" s="85">
        <v>25.879669611870849</v>
      </c>
    </row>
    <row r="13" spans="1:15" x14ac:dyDescent="0.2">
      <c r="A13" s="44">
        <v>46132</v>
      </c>
      <c r="B13" s="43">
        <v>36958.800000000003</v>
      </c>
      <c r="C13" s="43">
        <v>1980</v>
      </c>
      <c r="D13" s="43">
        <v>1860</v>
      </c>
      <c r="E13" s="43">
        <v>1900</v>
      </c>
      <c r="F13" s="5">
        <v>12064</v>
      </c>
      <c r="G13" s="85">
        <v>3.2608695652173911</v>
      </c>
      <c r="H13" s="4">
        <v>1824</v>
      </c>
      <c r="I13" s="4">
        <v>1742</v>
      </c>
      <c r="J13" s="4">
        <v>1603.25</v>
      </c>
      <c r="K13" s="4">
        <v>85.953252744987267</v>
      </c>
      <c r="L13" s="4">
        <v>76.360610936681212</v>
      </c>
      <c r="M13" s="4">
        <v>86.866230866166447</v>
      </c>
      <c r="N13" s="4">
        <v>86.7138743801668</v>
      </c>
      <c r="O13" s="85">
        <v>26.846221720000131</v>
      </c>
    </row>
    <row r="14" spans="1:15" x14ac:dyDescent="0.2">
      <c r="A14" s="44">
        <v>46133</v>
      </c>
      <c r="B14" s="43">
        <v>37605.11</v>
      </c>
      <c r="C14" s="43">
        <v>2035</v>
      </c>
      <c r="D14" s="43">
        <v>1930</v>
      </c>
      <c r="E14" s="43">
        <v>2015</v>
      </c>
      <c r="F14" s="5">
        <v>11917</v>
      </c>
      <c r="G14" s="85">
        <v>6.0526315789473681</v>
      </c>
      <c r="H14" s="4">
        <v>1877</v>
      </c>
      <c r="I14" s="4">
        <v>1792</v>
      </c>
      <c r="J14" s="4">
        <v>1630.25</v>
      </c>
      <c r="K14" s="4">
        <v>90.657534971808985</v>
      </c>
      <c r="L14" s="4">
        <v>80.52829904331297</v>
      </c>
      <c r="M14" s="4">
        <v>89.577487244110955</v>
      </c>
      <c r="N14" s="4">
        <v>87.668412001481514</v>
      </c>
      <c r="O14" s="85">
        <v>32.451977154314221</v>
      </c>
    </row>
    <row r="15" spans="1:15" x14ac:dyDescent="0.2">
      <c r="A15" s="44">
        <v>46134</v>
      </c>
      <c r="B15" s="43">
        <v>37878.47</v>
      </c>
      <c r="C15" s="43">
        <v>2045</v>
      </c>
      <c r="D15" s="43">
        <v>1995</v>
      </c>
      <c r="E15" s="43">
        <v>2015</v>
      </c>
      <c r="F15" s="5">
        <v>10968</v>
      </c>
      <c r="G15" s="85">
        <v>0</v>
      </c>
      <c r="H15" s="4">
        <v>1923</v>
      </c>
      <c r="I15" s="4">
        <v>1827</v>
      </c>
      <c r="J15" s="4">
        <v>1660.5</v>
      </c>
      <c r="K15" s="4">
        <v>90.657534971808985</v>
      </c>
      <c r="L15" s="4">
        <v>80.52829904331297</v>
      </c>
      <c r="M15" s="4">
        <v>90.348955460037928</v>
      </c>
      <c r="N15" s="4">
        <v>88.56192648766698</v>
      </c>
      <c r="O15" s="85">
        <v>33.258636434912731</v>
      </c>
    </row>
    <row r="16" spans="1:15" x14ac:dyDescent="0.2">
      <c r="A16" s="44">
        <v>46135</v>
      </c>
      <c r="B16" s="43">
        <v>37714.15</v>
      </c>
      <c r="C16" s="43">
        <v>2115</v>
      </c>
      <c r="D16" s="43">
        <v>1935</v>
      </c>
      <c r="E16" s="43">
        <v>1980</v>
      </c>
      <c r="F16" s="5">
        <v>17431</v>
      </c>
      <c r="G16" s="85">
        <v>-1.7369727047146399</v>
      </c>
      <c r="H16" s="4">
        <v>1950</v>
      </c>
      <c r="I16" s="4">
        <v>1860.5</v>
      </c>
      <c r="J16" s="4">
        <v>1688.75</v>
      </c>
      <c r="K16" s="4">
        <v>79.054376717081212</v>
      </c>
      <c r="L16" s="4">
        <v>75.694688093863959</v>
      </c>
      <c r="M16" s="4">
        <v>82.454859195580838</v>
      </c>
      <c r="N16" s="4">
        <v>86.526237390304928</v>
      </c>
      <c r="O16" s="85">
        <v>28.705607414290771</v>
      </c>
    </row>
    <row r="17" spans="1:15" x14ac:dyDescent="0.2">
      <c r="A17" s="44">
        <v>46136</v>
      </c>
      <c r="B17" s="43">
        <v>38932.400000000001</v>
      </c>
      <c r="C17" s="43">
        <v>2090</v>
      </c>
      <c r="D17" s="43">
        <v>1990</v>
      </c>
      <c r="E17" s="43">
        <v>2075</v>
      </c>
      <c r="F17" s="5">
        <v>11571</v>
      </c>
      <c r="G17" s="85">
        <v>4.7979797979797976</v>
      </c>
      <c r="H17" s="4">
        <v>1997</v>
      </c>
      <c r="I17" s="4">
        <v>1894.5</v>
      </c>
      <c r="J17" s="4">
        <v>1715</v>
      </c>
      <c r="K17" s="4">
        <v>85.217060820243191</v>
      </c>
      <c r="L17" s="4">
        <v>79.362624189246986</v>
      </c>
      <c r="M17" s="4">
        <v>84.650271427190873</v>
      </c>
      <c r="N17" s="4">
        <v>85.900915402600248</v>
      </c>
      <c r="O17" s="85">
        <v>29.26277731611782</v>
      </c>
    </row>
    <row r="18" spans="1:15" x14ac:dyDescent="0.2">
      <c r="A18" s="44">
        <v>46139</v>
      </c>
      <c r="B18" s="43">
        <v>39616.629999999997</v>
      </c>
      <c r="C18" s="43">
        <v>2080</v>
      </c>
      <c r="D18" s="43">
        <v>1995</v>
      </c>
      <c r="E18" s="43">
        <v>2020</v>
      </c>
      <c r="F18" s="5">
        <v>15898</v>
      </c>
      <c r="G18" s="85">
        <v>-2.6506024096385539</v>
      </c>
      <c r="H18" s="4">
        <v>2021</v>
      </c>
      <c r="I18" s="4">
        <v>1922.5</v>
      </c>
      <c r="J18" s="4">
        <v>1740.25</v>
      </c>
      <c r="K18" s="4">
        <v>70.754339176323469</v>
      </c>
      <c r="L18" s="4">
        <v>72.456628123268445</v>
      </c>
      <c r="M18" s="4">
        <v>80.170888022167645</v>
      </c>
      <c r="N18" s="4">
        <v>83.990906275789371</v>
      </c>
      <c r="O18" s="85">
        <v>23.35436777319325</v>
      </c>
    </row>
    <row r="19" spans="1:15" x14ac:dyDescent="0.2">
      <c r="A19" s="44">
        <v>46140</v>
      </c>
      <c r="B19" s="43">
        <v>39521.730000000003</v>
      </c>
      <c r="C19" s="43">
        <v>2160</v>
      </c>
      <c r="D19" s="43">
        <v>2030</v>
      </c>
      <c r="E19" s="43">
        <v>2125</v>
      </c>
      <c r="F19" s="5">
        <v>15038</v>
      </c>
      <c r="G19" s="85">
        <v>5.1980198019801982</v>
      </c>
      <c r="H19" s="4">
        <v>2043</v>
      </c>
      <c r="I19" s="4">
        <v>1960</v>
      </c>
      <c r="J19" s="4">
        <v>1771</v>
      </c>
      <c r="K19" s="4">
        <v>78.941845384178492</v>
      </c>
      <c r="L19" s="4">
        <v>76.682426992929166</v>
      </c>
      <c r="M19" s="4">
        <v>83.669480903667306</v>
      </c>
      <c r="N19" s="4">
        <v>83.883764485082011</v>
      </c>
      <c r="O19" s="85">
        <v>23.860783767379729</v>
      </c>
    </row>
    <row r="20" spans="1:15" x14ac:dyDescent="0.2">
      <c r="A20" s="44">
        <v>46141</v>
      </c>
      <c r="B20" s="43">
        <v>39303.5</v>
      </c>
      <c r="C20" s="43">
        <v>2170</v>
      </c>
      <c r="D20" s="43">
        <v>2035</v>
      </c>
      <c r="E20" s="43">
        <v>2165</v>
      </c>
      <c r="F20" s="5">
        <v>12261</v>
      </c>
      <c r="G20" s="85">
        <v>1.8823529411764699</v>
      </c>
      <c r="H20" s="4">
        <v>2073</v>
      </c>
      <c r="I20" s="4">
        <v>1998</v>
      </c>
      <c r="J20" s="4">
        <v>1805</v>
      </c>
      <c r="K20" s="4">
        <v>81.331092378518534</v>
      </c>
      <c r="L20" s="4">
        <v>78.080051476180785</v>
      </c>
      <c r="M20" s="4">
        <v>88.622791190680161</v>
      </c>
      <c r="N20" s="4">
        <v>85.463440053614733</v>
      </c>
      <c r="O20" s="85">
        <v>24.158809268282539</v>
      </c>
    </row>
    <row r="21" spans="1:15" x14ac:dyDescent="0.2">
      <c r="A21" s="44">
        <v>46142</v>
      </c>
      <c r="B21" s="43">
        <v>38926.629999999997</v>
      </c>
      <c r="C21" s="43">
        <v>2280</v>
      </c>
      <c r="D21" s="43">
        <v>2150</v>
      </c>
      <c r="E21" s="43">
        <v>2165</v>
      </c>
      <c r="F21" s="5">
        <v>14060</v>
      </c>
      <c r="G21" s="85">
        <v>0</v>
      </c>
      <c r="H21" s="4">
        <v>2110</v>
      </c>
      <c r="I21" s="4">
        <v>2030</v>
      </c>
      <c r="J21" s="4">
        <v>1844.25</v>
      </c>
      <c r="K21" s="4">
        <v>81.331092378518534</v>
      </c>
      <c r="L21" s="4">
        <v>78.080051476180785</v>
      </c>
      <c r="M21" s="4">
        <v>83.288210000135976</v>
      </c>
      <c r="N21" s="4">
        <v>84.738363369121814</v>
      </c>
      <c r="O21" s="85">
        <v>21.702827290115039</v>
      </c>
    </row>
  </sheetData>
  <autoFilter ref="A1:O21" xr:uid="{00000000-0009-0000-0000-000019000000}"/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1" customWidth="1"/>
    <col min="3" max="5" width="9" customWidth="1"/>
    <col min="6" max="6" width="13" customWidth="1"/>
    <col min="7" max="7" width="10" customWidth="1"/>
    <col min="8" max="10" width="9" customWidth="1"/>
    <col min="11" max="12" width="10" customWidth="1"/>
    <col min="13" max="14" width="9" customWidth="1"/>
    <col min="15" max="15" width="11" customWidth="1"/>
  </cols>
  <sheetData>
    <row r="1" spans="1:15" x14ac:dyDescent="0.2">
      <c r="A1" s="104" t="s">
        <v>192</v>
      </c>
      <c r="B1" s="104" t="s">
        <v>193</v>
      </c>
      <c r="C1" s="104" t="s">
        <v>194</v>
      </c>
      <c r="D1" s="104" t="s">
        <v>195</v>
      </c>
      <c r="E1" s="104" t="s">
        <v>196</v>
      </c>
      <c r="F1" s="104" t="s">
        <v>197</v>
      </c>
      <c r="G1" s="104" t="s">
        <v>198</v>
      </c>
      <c r="H1" s="104" t="s">
        <v>77</v>
      </c>
      <c r="I1" s="104" t="s">
        <v>78</v>
      </c>
      <c r="J1" s="104" t="s">
        <v>79</v>
      </c>
      <c r="K1" s="104" t="s">
        <v>80</v>
      </c>
      <c r="L1" s="104" t="s">
        <v>81</v>
      </c>
      <c r="M1" s="104" t="s">
        <v>82</v>
      </c>
      <c r="N1" s="104" t="s">
        <v>83</v>
      </c>
      <c r="O1" s="104" t="s">
        <v>84</v>
      </c>
    </row>
    <row r="2" spans="1:15" x14ac:dyDescent="0.2">
      <c r="A2" s="44">
        <v>46113</v>
      </c>
      <c r="B2" s="43">
        <v>33174.82</v>
      </c>
      <c r="C2" s="43">
        <v>88</v>
      </c>
      <c r="D2" s="43">
        <v>87</v>
      </c>
      <c r="E2" s="43">
        <v>87.8</v>
      </c>
      <c r="F2" s="5">
        <v>13477</v>
      </c>
      <c r="G2" s="85">
        <v>2.093023255813951</v>
      </c>
      <c r="H2" s="4">
        <v>87.300000000000011</v>
      </c>
      <c r="I2" s="4">
        <v>87.6</v>
      </c>
      <c r="J2" s="4">
        <v>88.279999999999987</v>
      </c>
      <c r="K2" s="4">
        <v>50.271563232052692</v>
      </c>
      <c r="L2" s="4">
        <v>45.039112627849782</v>
      </c>
      <c r="M2" s="4">
        <v>41.545868451575167</v>
      </c>
      <c r="N2" s="4">
        <v>41.482429602605002</v>
      </c>
      <c r="O2" s="85">
        <v>8.0736479511023251E-3</v>
      </c>
    </row>
    <row r="3" spans="1:15" x14ac:dyDescent="0.2">
      <c r="A3" s="44">
        <v>46114</v>
      </c>
      <c r="B3" s="43">
        <v>32572.43</v>
      </c>
      <c r="C3" s="43">
        <v>88.4</v>
      </c>
      <c r="D3" s="43">
        <v>87.2</v>
      </c>
      <c r="E3" s="43">
        <v>87.8</v>
      </c>
      <c r="F3" s="5">
        <v>10713</v>
      </c>
      <c r="G3" s="85">
        <v>0</v>
      </c>
      <c r="H3" s="4">
        <v>87.140000000000015</v>
      </c>
      <c r="I3" s="4">
        <v>87.559999999999988</v>
      </c>
      <c r="J3" s="4">
        <v>88.144999999999996</v>
      </c>
      <c r="K3" s="4">
        <v>50.271563232052692</v>
      </c>
      <c r="L3" s="4">
        <v>45.039112627849782</v>
      </c>
      <c r="M3" s="4">
        <v>49.064767001904777</v>
      </c>
      <c r="N3" s="4">
        <v>44.009875402371591</v>
      </c>
      <c r="O3" s="85">
        <v>7.8232488943565937E-2</v>
      </c>
    </row>
    <row r="4" spans="1:15" x14ac:dyDescent="0.2">
      <c r="A4" s="44">
        <v>46119</v>
      </c>
      <c r="B4" s="43">
        <v>33229.82</v>
      </c>
      <c r="C4" s="43">
        <v>88.3</v>
      </c>
      <c r="D4" s="43">
        <v>86.5</v>
      </c>
      <c r="E4" s="43">
        <v>87.7</v>
      </c>
      <c r="F4" s="5">
        <v>14257</v>
      </c>
      <c r="G4" s="85">
        <v>-0.11389521640090471</v>
      </c>
      <c r="H4" s="4">
        <v>87.14</v>
      </c>
      <c r="I4" s="4">
        <v>87.47</v>
      </c>
      <c r="J4" s="4">
        <v>88.09</v>
      </c>
      <c r="K4" s="4">
        <v>49.123469696537882</v>
      </c>
      <c r="L4" s="4">
        <v>44.595982767590058</v>
      </c>
      <c r="M4" s="4">
        <v>51.337295648328698</v>
      </c>
      <c r="N4" s="4">
        <v>46.45234881769062</v>
      </c>
      <c r="O4" s="85">
        <v>0.1232940033561674</v>
      </c>
    </row>
    <row r="5" spans="1:15" x14ac:dyDescent="0.2">
      <c r="A5" s="44">
        <v>46120</v>
      </c>
      <c r="B5" s="43">
        <v>34761.379999999997</v>
      </c>
      <c r="C5" s="43">
        <v>89.2</v>
      </c>
      <c r="D5" s="43">
        <v>87.9</v>
      </c>
      <c r="E5" s="43">
        <v>89.2</v>
      </c>
      <c r="F5" s="5">
        <v>17573</v>
      </c>
      <c r="G5" s="85">
        <v>1.710376282782212</v>
      </c>
      <c r="H5" s="4">
        <v>87.7</v>
      </c>
      <c r="I5" s="4">
        <v>87.710000000000008</v>
      </c>
      <c r="J5" s="4">
        <v>88.190000000000012</v>
      </c>
      <c r="K5" s="4">
        <v>63.944996134153847</v>
      </c>
      <c r="L5" s="4">
        <v>52.278980785752474</v>
      </c>
      <c r="M5" s="4">
        <v>67.558197098885785</v>
      </c>
      <c r="N5" s="4">
        <v>53.487631578089008</v>
      </c>
      <c r="O5" s="85">
        <v>0.25209005077320162</v>
      </c>
    </row>
    <row r="6" spans="1:15" x14ac:dyDescent="0.2">
      <c r="A6" s="44">
        <v>46121</v>
      </c>
      <c r="B6" s="43">
        <v>34861.160000000003</v>
      </c>
      <c r="C6" s="43">
        <v>89.2</v>
      </c>
      <c r="D6" s="43">
        <v>87.6</v>
      </c>
      <c r="E6" s="43">
        <v>88.5</v>
      </c>
      <c r="F6" s="5">
        <v>21410</v>
      </c>
      <c r="G6" s="85">
        <v>-0.78475336322870271</v>
      </c>
      <c r="H6" s="4">
        <v>88.2</v>
      </c>
      <c r="I6" s="4">
        <v>87.85</v>
      </c>
      <c r="J6" s="4">
        <v>88.200000000000017</v>
      </c>
      <c r="K6" s="4">
        <v>54.97612827113371</v>
      </c>
      <c r="L6" s="4">
        <v>48.83162591285322</v>
      </c>
      <c r="M6" s="4">
        <v>71.509386301217958</v>
      </c>
      <c r="N6" s="4">
        <v>59.49488315246532</v>
      </c>
      <c r="O6" s="85">
        <v>0.28564415502177959</v>
      </c>
    </row>
    <row r="7" spans="1:15" x14ac:dyDescent="0.2">
      <c r="A7" s="44">
        <v>46122</v>
      </c>
      <c r="B7" s="43">
        <v>35417.83</v>
      </c>
      <c r="C7" s="43">
        <v>88.2</v>
      </c>
      <c r="D7" s="43">
        <v>87.3</v>
      </c>
      <c r="E7" s="43">
        <v>87.6</v>
      </c>
      <c r="F7" s="5">
        <v>20801</v>
      </c>
      <c r="G7" s="85">
        <v>-1.0169491525423791</v>
      </c>
      <c r="H7" s="4">
        <v>88.16</v>
      </c>
      <c r="I7" s="4">
        <v>87.730000000000018</v>
      </c>
      <c r="J7" s="4">
        <v>88.12</v>
      </c>
      <c r="K7" s="4">
        <v>45.195773674368453</v>
      </c>
      <c r="L7" s="4">
        <v>44.697574552580797</v>
      </c>
      <c r="M7" s="4">
        <v>65.319983024341326</v>
      </c>
      <c r="N7" s="4">
        <v>61.436583109757308</v>
      </c>
      <c r="O7" s="85">
        <v>0.24432891927250019</v>
      </c>
    </row>
    <row r="8" spans="1:15" x14ac:dyDescent="0.2">
      <c r="A8" s="44">
        <v>46125</v>
      </c>
      <c r="B8" s="43">
        <v>35457.29</v>
      </c>
      <c r="C8" s="43">
        <v>87.6</v>
      </c>
      <c r="D8" s="43">
        <v>86.7</v>
      </c>
      <c r="E8" s="43">
        <v>86.7</v>
      </c>
      <c r="F8" s="5">
        <v>17475</v>
      </c>
      <c r="G8" s="85">
        <v>-1.0273972602739629</v>
      </c>
      <c r="H8" s="4">
        <v>87.94</v>
      </c>
      <c r="I8" s="4">
        <v>87.54000000000002</v>
      </c>
      <c r="J8" s="4">
        <v>87.984999999999999</v>
      </c>
      <c r="K8" s="4">
        <v>37.244693986066657</v>
      </c>
      <c r="L8" s="4">
        <v>40.918520002009053</v>
      </c>
      <c r="M8" s="4">
        <v>52.370184761325618</v>
      </c>
      <c r="N8" s="4">
        <v>58.414450326946749</v>
      </c>
      <c r="O8" s="85">
        <v>0.15769596957123541</v>
      </c>
    </row>
    <row r="9" spans="1:15" x14ac:dyDescent="0.2">
      <c r="A9" s="44">
        <v>46126</v>
      </c>
      <c r="B9" s="43">
        <v>36296.120000000003</v>
      </c>
      <c r="C9" s="43">
        <v>88.4</v>
      </c>
      <c r="D9" s="43">
        <v>86.7</v>
      </c>
      <c r="E9" s="43">
        <v>87.6</v>
      </c>
      <c r="F9" s="5">
        <v>18208</v>
      </c>
      <c r="G9" s="85">
        <v>1.0380622837370139</v>
      </c>
      <c r="H9" s="4">
        <v>87.919999999999987</v>
      </c>
      <c r="I9" s="4">
        <v>87.53</v>
      </c>
      <c r="J9" s="4">
        <v>87.96</v>
      </c>
      <c r="K9" s="4">
        <v>48.183659744195793</v>
      </c>
      <c r="L9" s="4">
        <v>45.90763731263938</v>
      </c>
      <c r="M9" s="4">
        <v>52.56051533107977</v>
      </c>
      <c r="N9" s="4">
        <v>56.463138661657752</v>
      </c>
      <c r="O9" s="85">
        <v>0.16171257095086219</v>
      </c>
    </row>
    <row r="10" spans="1:15" x14ac:dyDescent="0.2">
      <c r="A10" s="44">
        <v>46127</v>
      </c>
      <c r="B10" s="43">
        <v>36722.14</v>
      </c>
      <c r="C10" s="43">
        <v>88.4</v>
      </c>
      <c r="D10" s="43">
        <v>87.1</v>
      </c>
      <c r="E10" s="43">
        <v>87.5</v>
      </c>
      <c r="F10" s="5">
        <v>21344</v>
      </c>
      <c r="G10" s="85">
        <v>-0.114155251141546</v>
      </c>
      <c r="H10" s="4">
        <v>87.58</v>
      </c>
      <c r="I10" s="4">
        <v>87.640000000000015</v>
      </c>
      <c r="J10" s="4">
        <v>87.894999999999996</v>
      </c>
      <c r="K10" s="4">
        <v>47.089234312178817</v>
      </c>
      <c r="L10" s="4">
        <v>45.44250059601417</v>
      </c>
      <c r="M10" s="4">
        <v>47.386022566398843</v>
      </c>
      <c r="N10" s="4">
        <v>53.437433296571442</v>
      </c>
      <c r="O10" s="85">
        <v>0.15814975841499929</v>
      </c>
    </row>
    <row r="11" spans="1:15" x14ac:dyDescent="0.2">
      <c r="A11" s="44">
        <v>46128</v>
      </c>
      <c r="B11" s="43">
        <v>37132.019999999997</v>
      </c>
      <c r="C11" s="43">
        <v>88.4</v>
      </c>
      <c r="D11" s="43">
        <v>87.2</v>
      </c>
      <c r="E11" s="43">
        <v>87.9</v>
      </c>
      <c r="F11" s="5">
        <v>21047</v>
      </c>
      <c r="G11" s="85">
        <v>0.45714285714286368</v>
      </c>
      <c r="H11" s="4">
        <v>87.46</v>
      </c>
      <c r="I11" s="4">
        <v>87.830000000000013</v>
      </c>
      <c r="J11" s="4">
        <v>87.8</v>
      </c>
      <c r="K11" s="4">
        <v>52.290753318825118</v>
      </c>
      <c r="L11" s="4">
        <v>47.7524892013422</v>
      </c>
      <c r="M11" s="4">
        <v>48.874632328216563</v>
      </c>
      <c r="N11" s="4">
        <v>51.916499640453146</v>
      </c>
      <c r="O11" s="85">
        <v>0.18157146121392839</v>
      </c>
    </row>
    <row r="12" spans="1:15" x14ac:dyDescent="0.2">
      <c r="A12" s="44">
        <v>46129</v>
      </c>
      <c r="B12" s="43">
        <v>36804.339999999997</v>
      </c>
      <c r="C12" s="43">
        <v>88</v>
      </c>
      <c r="D12" s="43">
        <v>86.8</v>
      </c>
      <c r="E12" s="43">
        <v>88</v>
      </c>
      <c r="F12" s="5">
        <v>24660</v>
      </c>
      <c r="G12" s="85">
        <v>0.1137656427758752</v>
      </c>
      <c r="H12" s="4">
        <v>87.54</v>
      </c>
      <c r="I12" s="4">
        <v>87.85</v>
      </c>
      <c r="J12" s="4">
        <v>87.724999999999994</v>
      </c>
      <c r="K12" s="4">
        <v>53.65749641952943</v>
      </c>
      <c r="L12" s="4">
        <v>48.348924474652279</v>
      </c>
      <c r="M12" s="4">
        <v>51.10160673732954</v>
      </c>
      <c r="N12" s="4">
        <v>51.644868672745282</v>
      </c>
      <c r="O12" s="85">
        <v>0.20111959385099651</v>
      </c>
    </row>
    <row r="13" spans="1:15" x14ac:dyDescent="0.2">
      <c r="A13" s="44">
        <v>46132</v>
      </c>
      <c r="B13" s="43">
        <v>36958.800000000003</v>
      </c>
      <c r="C13" s="43">
        <v>88</v>
      </c>
      <c r="D13" s="43">
        <v>87.2</v>
      </c>
      <c r="E13" s="43">
        <v>87.2</v>
      </c>
      <c r="F13" s="5">
        <v>22352</v>
      </c>
      <c r="G13" s="85">
        <v>-0.90909090909090595</v>
      </c>
      <c r="H13" s="4">
        <v>87.64</v>
      </c>
      <c r="I13" s="4">
        <v>87.789999999999992</v>
      </c>
      <c r="J13" s="4">
        <v>87.674999999999997</v>
      </c>
      <c r="K13" s="4">
        <v>42.08383290809369</v>
      </c>
      <c r="L13" s="4">
        <v>43.968484257846782</v>
      </c>
      <c r="M13" s="4">
        <v>40.734404491553022</v>
      </c>
      <c r="N13" s="4">
        <v>48.008047279014519</v>
      </c>
      <c r="O13" s="85">
        <v>0.15932081266693629</v>
      </c>
    </row>
    <row r="14" spans="1:15" x14ac:dyDescent="0.2">
      <c r="A14" s="44">
        <v>46133</v>
      </c>
      <c r="B14" s="43">
        <v>37605.11</v>
      </c>
      <c r="C14" s="43">
        <v>88.1</v>
      </c>
      <c r="D14" s="43">
        <v>87.2</v>
      </c>
      <c r="E14" s="43">
        <v>87.7</v>
      </c>
      <c r="F14" s="5">
        <v>18530</v>
      </c>
      <c r="G14" s="85">
        <v>0.57339449541284393</v>
      </c>
      <c r="H14" s="4">
        <v>87.66</v>
      </c>
      <c r="I14" s="4">
        <v>87.789999999999992</v>
      </c>
      <c r="J14" s="4">
        <v>87.63000000000001</v>
      </c>
      <c r="K14" s="4">
        <v>50.148396038852503</v>
      </c>
      <c r="L14" s="4">
        <v>47.228353376251263</v>
      </c>
      <c r="M14" s="4">
        <v>40.489602994368681</v>
      </c>
      <c r="N14" s="4">
        <v>45.501899184132569</v>
      </c>
      <c r="O14" s="85">
        <v>0.1638619741695059</v>
      </c>
    </row>
    <row r="15" spans="1:15" x14ac:dyDescent="0.2">
      <c r="A15" s="44">
        <v>46134</v>
      </c>
      <c r="B15" s="43">
        <v>37878.47</v>
      </c>
      <c r="C15" s="43">
        <v>88.8</v>
      </c>
      <c r="D15" s="43">
        <v>87.7</v>
      </c>
      <c r="E15" s="43">
        <v>88.3</v>
      </c>
      <c r="F15" s="5">
        <v>23952</v>
      </c>
      <c r="G15" s="85">
        <v>0.68415051311287833</v>
      </c>
      <c r="H15" s="4">
        <v>87.820000000000007</v>
      </c>
      <c r="I15" s="4">
        <v>87.7</v>
      </c>
      <c r="J15" s="4">
        <v>87.705000000000013</v>
      </c>
      <c r="K15" s="4">
        <v>58.474764568415942</v>
      </c>
      <c r="L15" s="4">
        <v>50.963095714301303</v>
      </c>
      <c r="M15" s="4">
        <v>52.389894059737827</v>
      </c>
      <c r="N15" s="4">
        <v>47.797897476000983</v>
      </c>
      <c r="O15" s="85">
        <v>0.20321835060107041</v>
      </c>
    </row>
    <row r="16" spans="1:15" x14ac:dyDescent="0.2">
      <c r="A16" s="44">
        <v>46135</v>
      </c>
      <c r="B16" s="43">
        <v>37714.15</v>
      </c>
      <c r="C16" s="43">
        <v>89.2</v>
      </c>
      <c r="D16" s="43">
        <v>88.1</v>
      </c>
      <c r="E16" s="43">
        <v>88.3</v>
      </c>
      <c r="F16" s="5">
        <v>26420</v>
      </c>
      <c r="G16" s="85">
        <v>0</v>
      </c>
      <c r="H16" s="4">
        <v>87.9</v>
      </c>
      <c r="I16" s="4">
        <v>87.679999999999993</v>
      </c>
      <c r="J16" s="4">
        <v>87.765000000000001</v>
      </c>
      <c r="K16" s="4">
        <v>58.474764568415942</v>
      </c>
      <c r="L16" s="4">
        <v>50.963095714301303</v>
      </c>
      <c r="M16" s="4">
        <v>56.259929373158471</v>
      </c>
      <c r="N16" s="4">
        <v>50.618574775053467</v>
      </c>
      <c r="O16" s="85">
        <v>0.2235793289629959</v>
      </c>
    </row>
    <row r="17" spans="1:15" x14ac:dyDescent="0.2">
      <c r="A17" s="44">
        <v>46136</v>
      </c>
      <c r="B17" s="43">
        <v>38932.400000000001</v>
      </c>
      <c r="C17" s="43">
        <v>88.7</v>
      </c>
      <c r="D17" s="43">
        <v>87.8</v>
      </c>
      <c r="E17" s="43">
        <v>87.8</v>
      </c>
      <c r="F17" s="5">
        <v>16799</v>
      </c>
      <c r="G17" s="85">
        <v>-0.56625141562853909</v>
      </c>
      <c r="H17" s="4">
        <v>87.86</v>
      </c>
      <c r="I17" s="4">
        <v>87.7</v>
      </c>
      <c r="J17" s="4">
        <v>87.715000000000003</v>
      </c>
      <c r="K17" s="4">
        <v>48.711608915869199</v>
      </c>
      <c r="L17" s="4">
        <v>47.62074469895515</v>
      </c>
      <c r="M17" s="4">
        <v>52.173286248772229</v>
      </c>
      <c r="N17" s="4">
        <v>51.136811932959723</v>
      </c>
      <c r="O17" s="85">
        <v>0.19854858926123431</v>
      </c>
    </row>
    <row r="18" spans="1:15" x14ac:dyDescent="0.2">
      <c r="A18" s="44">
        <v>46139</v>
      </c>
      <c r="B18" s="43">
        <v>39616.629999999997</v>
      </c>
      <c r="C18" s="43">
        <v>88.5</v>
      </c>
      <c r="D18" s="43">
        <v>87.2</v>
      </c>
      <c r="E18" s="43">
        <v>87.9</v>
      </c>
      <c r="F18" s="5">
        <v>24301</v>
      </c>
      <c r="G18" s="85">
        <v>0.1138952164009209</v>
      </c>
      <c r="H18" s="4">
        <v>88</v>
      </c>
      <c r="I18" s="4">
        <v>87.819999999999979</v>
      </c>
      <c r="J18" s="4">
        <v>87.680000000000021</v>
      </c>
      <c r="K18" s="4">
        <v>50.687618076880831</v>
      </c>
      <c r="L18" s="4">
        <v>48.359675510414966</v>
      </c>
      <c r="M18" s="4">
        <v>50.059968610292671</v>
      </c>
      <c r="N18" s="4">
        <v>50.777864158737373</v>
      </c>
      <c r="O18" s="85">
        <v>0.18421741869080829</v>
      </c>
    </row>
    <row r="19" spans="1:15" x14ac:dyDescent="0.2">
      <c r="A19" s="44">
        <v>46140</v>
      </c>
      <c r="B19" s="43">
        <v>39521.730000000003</v>
      </c>
      <c r="C19" s="43">
        <v>89.2</v>
      </c>
      <c r="D19" s="43">
        <v>88.1</v>
      </c>
      <c r="E19" s="43">
        <v>88.6</v>
      </c>
      <c r="F19" s="5">
        <v>21109</v>
      </c>
      <c r="G19" s="85">
        <v>0.79635949943115891</v>
      </c>
      <c r="H19" s="4">
        <v>88.179999999999993</v>
      </c>
      <c r="I19" s="4">
        <v>87.919999999999987</v>
      </c>
      <c r="J19" s="4">
        <v>87.724999999999994</v>
      </c>
      <c r="K19" s="4">
        <v>62.744595493808767</v>
      </c>
      <c r="L19" s="4">
        <v>53.38179043791051</v>
      </c>
      <c r="M19" s="4">
        <v>58.373312406861679</v>
      </c>
      <c r="N19" s="4">
        <v>53.309680241445477</v>
      </c>
      <c r="O19" s="85">
        <v>0.21521452393927931</v>
      </c>
    </row>
    <row r="20" spans="1:15" x14ac:dyDescent="0.2">
      <c r="A20" s="44">
        <v>46141</v>
      </c>
      <c r="B20" s="43">
        <v>39303.5</v>
      </c>
      <c r="C20" s="43">
        <v>91.3</v>
      </c>
      <c r="D20" s="43">
        <v>89.1</v>
      </c>
      <c r="E20" s="43">
        <v>91.3</v>
      </c>
      <c r="F20" s="5">
        <v>38229</v>
      </c>
      <c r="G20" s="85">
        <v>3.0474040632054211</v>
      </c>
      <c r="H20" s="4">
        <v>88.78</v>
      </c>
      <c r="I20" s="4">
        <v>88.299999999999983</v>
      </c>
      <c r="J20" s="4">
        <v>87.97</v>
      </c>
      <c r="K20" s="4">
        <v>82.523108282695148</v>
      </c>
      <c r="L20" s="4">
        <v>66.919032000663464</v>
      </c>
      <c r="M20" s="4">
        <v>72.248874937907772</v>
      </c>
      <c r="N20" s="4">
        <v>59.62274514026624</v>
      </c>
      <c r="O20" s="85">
        <v>0.40014240504083198</v>
      </c>
    </row>
    <row r="21" spans="1:15" x14ac:dyDescent="0.2">
      <c r="A21" s="44">
        <v>46142</v>
      </c>
      <c r="B21" s="43">
        <v>38926.629999999997</v>
      </c>
      <c r="C21" s="43">
        <v>91.8</v>
      </c>
      <c r="D21" s="43">
        <v>90</v>
      </c>
      <c r="E21" s="43">
        <v>90</v>
      </c>
      <c r="F21" s="5">
        <v>31101</v>
      </c>
      <c r="G21" s="85">
        <v>-1.423877327491782</v>
      </c>
      <c r="H21" s="4">
        <v>89.11999999999999</v>
      </c>
      <c r="I21" s="4">
        <v>88.509999999999991</v>
      </c>
      <c r="J21" s="4">
        <v>88.169999999999987</v>
      </c>
      <c r="K21" s="4">
        <v>63.15207428352759</v>
      </c>
      <c r="L21" s="4">
        <v>58.062946355462543</v>
      </c>
      <c r="M21" s="4">
        <v>68.455771697735628</v>
      </c>
      <c r="N21" s="4">
        <v>62.567087326089357</v>
      </c>
      <c r="O21" s="85">
        <v>0.4156742284540032</v>
      </c>
    </row>
  </sheetData>
  <autoFilter ref="A1:O21" xr:uid="{00000000-0009-0000-0000-00001A000000}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每日推薦</vt:lpstr>
      <vt:lpstr>2324 仁寶</vt:lpstr>
      <vt:lpstr>2382 廣達</vt:lpstr>
      <vt:lpstr>2395 研華</vt:lpstr>
      <vt:lpstr>3231 緯創</vt:lpstr>
      <vt:lpstr>2379 瑞昱</vt:lpstr>
      <vt:lpstr>5388 中磊</vt:lpstr>
      <vt:lpstr>6285 啟碁</vt:lpstr>
      <vt:lpstr>2352 佳世達</vt:lpstr>
      <vt:lpstr>2376 技嘉</vt:lpstr>
      <vt:lpstr>3034 聯詠</vt:lpstr>
      <vt:lpstr>2330 台積電</vt:lpstr>
      <vt:lpstr>2308 台達電</vt:lpstr>
      <vt:lpstr>2881 富邦金</vt:lpstr>
      <vt:lpstr>2324</vt:lpstr>
      <vt:lpstr>2382</vt:lpstr>
      <vt:lpstr>2395</vt:lpstr>
      <vt:lpstr>3231</vt:lpstr>
      <vt:lpstr>2379</vt:lpstr>
      <vt:lpstr>5388</vt:lpstr>
      <vt:lpstr>6285</vt:lpstr>
      <vt:lpstr>2352</vt:lpstr>
      <vt:lpstr>2376</vt:lpstr>
      <vt:lpstr>3034</vt:lpstr>
      <vt:lpstr>2330</vt:lpstr>
      <vt:lpstr>2308</vt:lpstr>
      <vt:lpstr>2881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IHsueh Lin</cp:lastModifiedBy>
  <cp:revision>0</cp:revision>
  <dcterms:created xsi:type="dcterms:W3CDTF">2026-04-30T02:24:43Z</dcterms:created>
  <dcterms:modified xsi:type="dcterms:W3CDTF">2026-05-03T13:16:44Z</dcterms:modified>
  <dc:language>en-US</dc:language>
</cp:coreProperties>
</file>